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ổng Quan &amp; Tiến Độ" sheetId="1" state="visible" r:id="rId1"/>
    <sheet xmlns:r="http://schemas.openxmlformats.org/officeDocument/2006/relationships" name="📋 Báo Cáo 49 Ngày" sheetId="2" state="visible" r:id="rId2"/>
    <sheet xmlns:r="http://schemas.openxmlformats.org/officeDocument/2006/relationships" name="Tuần 1" sheetId="3" state="visible" r:id="rId3"/>
    <sheet xmlns:r="http://schemas.openxmlformats.org/officeDocument/2006/relationships" name="Tuần 2" sheetId="4" state="visible" r:id="rId4"/>
    <sheet xmlns:r="http://schemas.openxmlformats.org/officeDocument/2006/relationships" name="Tuần 3" sheetId="5" state="visible" r:id="rId5"/>
    <sheet xmlns:r="http://schemas.openxmlformats.org/officeDocument/2006/relationships" name="Tuần 4" sheetId="6" state="visible" r:id="rId6"/>
    <sheet xmlns:r="http://schemas.openxmlformats.org/officeDocument/2006/relationships" name="Tuần 5" sheetId="7" state="visible" r:id="rId7"/>
    <sheet xmlns:r="http://schemas.openxmlformats.org/officeDocument/2006/relationships" name="Tuần 6" sheetId="8" state="visible" r:id="rId8"/>
    <sheet xmlns:r="http://schemas.openxmlformats.org/officeDocument/2006/relationships" name="Tuần 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1E3A8A"/>
      <sz val="9"/>
    </font>
    <font>
      <name val="Segoe UI"/>
      <b val="1"/>
      <color rgb="001E3A8A"/>
      <sz val="11"/>
    </font>
    <font>
      <name val="Segoe UI"/>
      <b val="1"/>
      <color rgb="00FFFFFF"/>
      <sz val="9"/>
    </font>
    <font>
      <name val="Segoe UI"/>
      <b val="1"/>
      <sz val="9"/>
    </font>
    <font>
      <name val="Segoe UI"/>
      <b val="1"/>
      <color rgb="00FFFFFF"/>
      <sz val="10"/>
    </font>
    <font>
      <name val="Segoe UI"/>
      <b val="1"/>
      <color rgb="001F2937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E3A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pivotButton="0" quotePrefix="0" xfId="0"/>
    <xf numFmtId="164" fontId="5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  <col width="17" customWidth="1" min="10" max="10"/>
    <col width="18" customWidth="1" min="11" max="11"/>
    <col width="24" customWidth="1" min="12" max="12"/>
  </cols>
  <sheetData>
    <row r="1">
      <c r="A1" s="1" t="inlineStr">
        <is>
          <t>🚀 BẢNG THEO DÕI THỬ THÁCH XÂY KÊNH (08/09 - 26/10/2026)</t>
        </is>
      </c>
    </row>
    <row r="2"/>
    <row r="3">
      <c r="A3" s="2" t="inlineStr">
        <is>
          <t>📌 Bắt đầu: 08/09/2026 - Kết thúc: 26/10/2026 (49 Ngày) | Nhiệm vụ: 1 Reel FB + 2 Bài viết FB + 1 Bài tập nhóm (Kèm Link &amp; Ảnh)</t>
        </is>
      </c>
    </row>
    <row r="5">
      <c r="A5" s="3" t="inlineStr">
        <is>
          <t>🏆 BẢNG TỔNG KẾT TIẾN ĐỘ 9 THÀNH VIÊN</t>
        </is>
      </c>
    </row>
    <row r="6">
      <c r="A6" s="4" t="inlineStr">
        <is>
          <t>STT</t>
        </is>
      </c>
      <c r="B6" s="4" t="inlineStr">
        <is>
          <t>Họ và Tên</t>
        </is>
      </c>
      <c r="C6" s="4" t="inlineStr">
        <is>
          <t>Mục tiêu Reel</t>
        </is>
      </c>
      <c r="D6" s="4" t="inlineStr">
        <is>
          <t>Reel Đã Nộp</t>
        </is>
      </c>
      <c r="E6" s="4" t="inlineStr">
        <is>
          <t>Mục tiêu Bài FB</t>
        </is>
      </c>
      <c r="F6" s="4" t="inlineStr">
        <is>
          <t>Bài FB Đã Nộp</t>
        </is>
      </c>
      <c r="G6" s="4" t="inlineStr">
        <is>
          <t>Mục tiêu Bài tập</t>
        </is>
      </c>
      <c r="H6" s="4" t="inlineStr">
        <is>
          <t>Bài tập Đã Nộp</t>
        </is>
      </c>
      <c r="I6" s="4" t="inlineStr">
        <is>
          <t>Tổng Mục Tiêu</t>
        </is>
      </c>
      <c r="J6" s="4" t="inlineStr">
        <is>
          <t>Tổng Hoàn Thành</t>
        </is>
      </c>
      <c r="K6" s="4" t="inlineStr">
        <is>
          <t>Tỷ Lệ Hoàn Thành</t>
        </is>
      </c>
      <c r="L6" s="4" t="inlineStr">
        <is>
          <t>Đánh Giá Tiến Độ</t>
        </is>
      </c>
    </row>
    <row r="7">
      <c r="A7" s="5" t="n">
        <v>1</v>
      </c>
      <c r="B7" s="6" t="inlineStr">
        <is>
          <t>Nancy</t>
        </is>
      </c>
      <c r="C7" s="5" t="n">
        <v>49</v>
      </c>
      <c r="D7" s="5">
        <f>COUNTIFS('📋 Báo Cáo 49 Ngày'!$F$5:$F$445, B7, '📋 Báo Cáo 49 Ngày'!$G$5:$G$445, "&lt;&gt;")</f>
        <v/>
      </c>
      <c r="E7" s="5" t="n">
        <v>98</v>
      </c>
      <c r="F7" s="5">
        <f>COUNTIFS('📋 Báo Cáo 49 Ngày'!$F$5:$F$445, B7, '📋 Báo Cáo 49 Ngày'!$I$5:$I$445, "&lt;&gt;") + COUNTIFS('📋 Báo Cáo 49 Ngày'!$F$5:$F$445, B7, '📋 Báo Cáo 49 Ngày'!$K$5:$K$445, "&lt;&gt;")</f>
        <v/>
      </c>
      <c r="G7" s="5" t="n">
        <v>49</v>
      </c>
      <c r="H7" s="5">
        <f>COUNTIFS('📋 Báo Cáo 49 Ngày'!$F$5:$F$445, B7, '📋 Báo Cáo 49 Ngày'!$M$5:$M$445, "&lt;&gt;")</f>
        <v/>
      </c>
      <c r="I7" s="5">
        <f>C7+E7+G7</f>
        <v/>
      </c>
      <c r="J7" s="7">
        <f>D7+F7+H7</f>
        <v/>
      </c>
      <c r="K7" s="8">
        <f>IF(I7&gt;0, J7/I7, 0)</f>
        <v/>
      </c>
      <c r="L7" s="7">
        <f>IF(K7&gt;=1, "⭐ Xuất sắc (100%)", IF(K7&gt;=0.8, "🔥 Rất Tốt (&gt;=80%)", IF(K7&gt;=0.5, "⚡ Đang Tiến Bộ", "⚠️ Cần Tăng Tốc")))</f>
        <v/>
      </c>
    </row>
    <row r="8">
      <c r="A8" s="9" t="n">
        <v>2</v>
      </c>
      <c r="B8" s="10" t="inlineStr">
        <is>
          <t>Hoài Học Mãi</t>
        </is>
      </c>
      <c r="C8" s="9" t="n">
        <v>49</v>
      </c>
      <c r="D8" s="9">
        <f>COUNTIFS('📋 Báo Cáo 49 Ngày'!$F$5:$F$445, B8, '📋 Báo Cáo 49 Ngày'!$G$5:$G$445, "&lt;&gt;")</f>
        <v/>
      </c>
      <c r="E8" s="9" t="n">
        <v>98</v>
      </c>
      <c r="F8" s="9">
        <f>COUNTIFS('📋 Báo Cáo 49 Ngày'!$F$5:$F$445, B8, '📋 Báo Cáo 49 Ngày'!$I$5:$I$445, "&lt;&gt;") + COUNTIFS('📋 Báo Cáo 49 Ngày'!$F$5:$F$445, B8, '📋 Báo Cáo 49 Ngày'!$K$5:$K$445, "&lt;&gt;")</f>
        <v/>
      </c>
      <c r="G8" s="9" t="n">
        <v>49</v>
      </c>
      <c r="H8" s="9">
        <f>COUNTIFS('📋 Báo Cáo 49 Ngày'!$F$5:$F$445, B8, '📋 Báo Cáo 49 Ngày'!$M$5:$M$445, "&lt;&gt;")</f>
        <v/>
      </c>
      <c r="I8" s="9">
        <f>C8+E8+G8</f>
        <v/>
      </c>
      <c r="J8" s="11">
        <f>D8+F8+H8</f>
        <v/>
      </c>
      <c r="K8" s="12">
        <f>IF(I8&gt;0, J8/I8, 0)</f>
        <v/>
      </c>
      <c r="L8" s="11">
        <f>IF(K8&gt;=1, "⭐ Xuất sắc (100%)", IF(K8&gt;=0.8, "🔥 Rất Tốt (&gt;=80%)", IF(K8&gt;=0.5, "⚡ Đang Tiến Bộ", "⚠️ Cần Tăng Tốc")))</f>
        <v/>
      </c>
    </row>
    <row r="9">
      <c r="A9" s="5" t="n">
        <v>3</v>
      </c>
      <c r="B9" s="6" t="inlineStr">
        <is>
          <t>Lambee</t>
        </is>
      </c>
      <c r="C9" s="5" t="n">
        <v>49</v>
      </c>
      <c r="D9" s="5">
        <f>COUNTIFS('📋 Báo Cáo 49 Ngày'!$F$5:$F$445, B9, '📋 Báo Cáo 49 Ngày'!$G$5:$G$445, "&lt;&gt;")</f>
        <v/>
      </c>
      <c r="E9" s="5" t="n">
        <v>98</v>
      </c>
      <c r="F9" s="5">
        <f>COUNTIFS('📋 Báo Cáo 49 Ngày'!$F$5:$F$445, B9, '📋 Báo Cáo 49 Ngày'!$I$5:$I$445, "&lt;&gt;") + COUNTIFS('📋 Báo Cáo 49 Ngày'!$F$5:$F$445, B9, '📋 Báo Cáo 49 Ngày'!$K$5:$K$445, "&lt;&gt;")</f>
        <v/>
      </c>
      <c r="G9" s="5" t="n">
        <v>49</v>
      </c>
      <c r="H9" s="5">
        <f>COUNTIFS('📋 Báo Cáo 49 Ngày'!$F$5:$F$445, B9, '📋 Báo Cáo 49 Ngày'!$M$5:$M$445, "&lt;&gt;")</f>
        <v/>
      </c>
      <c r="I9" s="5">
        <f>C9+E9+G9</f>
        <v/>
      </c>
      <c r="J9" s="7">
        <f>D9+F9+H9</f>
        <v/>
      </c>
      <c r="K9" s="8">
        <f>IF(I9&gt;0, J9/I9, 0)</f>
        <v/>
      </c>
      <c r="L9" s="7">
        <f>IF(K9&gt;=1, "⭐ Xuất sắc (100%)", IF(K9&gt;=0.8, "🔥 Rất Tốt (&gt;=80%)", IF(K9&gt;=0.5, "⚡ Đang Tiến Bộ", "⚠️ Cần Tăng Tốc")))</f>
        <v/>
      </c>
    </row>
    <row r="10">
      <c r="A10" s="9" t="n">
        <v>4</v>
      </c>
      <c r="B10" s="10" t="inlineStr">
        <is>
          <t>Nhung Hoàng</t>
        </is>
      </c>
      <c r="C10" s="9" t="n">
        <v>49</v>
      </c>
      <c r="D10" s="9">
        <f>COUNTIFS('📋 Báo Cáo 49 Ngày'!$F$5:$F$445, B10, '📋 Báo Cáo 49 Ngày'!$G$5:$G$445, "&lt;&gt;")</f>
        <v/>
      </c>
      <c r="E10" s="9" t="n">
        <v>98</v>
      </c>
      <c r="F10" s="9">
        <f>COUNTIFS('📋 Báo Cáo 49 Ngày'!$F$5:$F$445, B10, '📋 Báo Cáo 49 Ngày'!$I$5:$I$445, "&lt;&gt;") + COUNTIFS('📋 Báo Cáo 49 Ngày'!$F$5:$F$445, B10, '📋 Báo Cáo 49 Ngày'!$K$5:$K$445, "&lt;&gt;")</f>
        <v/>
      </c>
      <c r="G10" s="9" t="n">
        <v>49</v>
      </c>
      <c r="H10" s="9">
        <f>COUNTIFS('📋 Báo Cáo 49 Ngày'!$F$5:$F$445, B10, '📋 Báo Cáo 49 Ngày'!$M$5:$M$445, "&lt;&gt;")</f>
        <v/>
      </c>
      <c r="I10" s="9">
        <f>C10+E10+G10</f>
        <v/>
      </c>
      <c r="J10" s="11">
        <f>D10+F10+H10</f>
        <v/>
      </c>
      <c r="K10" s="12">
        <f>IF(I10&gt;0, J10/I10, 0)</f>
        <v/>
      </c>
      <c r="L10" s="11">
        <f>IF(K10&gt;=1, "⭐ Xuất sắc (100%)", IF(K10&gt;=0.8, "🔥 Rất Tốt (&gt;=80%)", IF(K10&gt;=0.5, "⚡ Đang Tiến Bộ", "⚠️ Cần Tăng Tốc")))</f>
        <v/>
      </c>
    </row>
    <row r="11">
      <c r="A11" s="5" t="n">
        <v>5</v>
      </c>
      <c r="B11" s="6" t="inlineStr">
        <is>
          <t>Quỳnh Thu</t>
        </is>
      </c>
      <c r="C11" s="5" t="n">
        <v>49</v>
      </c>
      <c r="D11" s="5">
        <f>COUNTIFS('📋 Báo Cáo 49 Ngày'!$F$5:$F$445, B11, '📋 Báo Cáo 49 Ngày'!$G$5:$G$445, "&lt;&gt;")</f>
        <v/>
      </c>
      <c r="E11" s="5" t="n">
        <v>98</v>
      </c>
      <c r="F11" s="5">
        <f>COUNTIFS('📋 Báo Cáo 49 Ngày'!$F$5:$F$445, B11, '📋 Báo Cáo 49 Ngày'!$I$5:$I$445, "&lt;&gt;") + COUNTIFS('📋 Báo Cáo 49 Ngày'!$F$5:$F$445, B11, '📋 Báo Cáo 49 Ngày'!$K$5:$K$445, "&lt;&gt;")</f>
        <v/>
      </c>
      <c r="G11" s="5" t="n">
        <v>49</v>
      </c>
      <c r="H11" s="5">
        <f>COUNTIFS('📋 Báo Cáo 49 Ngày'!$F$5:$F$445, B11, '📋 Báo Cáo 49 Ngày'!$M$5:$M$445, "&lt;&gt;")</f>
        <v/>
      </c>
      <c r="I11" s="5">
        <f>C11+E11+G11</f>
        <v/>
      </c>
      <c r="J11" s="7">
        <f>D11+F11+H11</f>
        <v/>
      </c>
      <c r="K11" s="8">
        <f>IF(I11&gt;0, J11/I11, 0)</f>
        <v/>
      </c>
      <c r="L11" s="7">
        <f>IF(K11&gt;=1, "⭐ Xuất sắc (100%)", IF(K11&gt;=0.8, "🔥 Rất Tốt (&gt;=80%)", IF(K11&gt;=0.5, "⚡ Đang Tiến Bộ", "⚠️ Cần Tăng Tốc")))</f>
        <v/>
      </c>
    </row>
    <row r="12">
      <c r="A12" s="9" t="n">
        <v>6</v>
      </c>
      <c r="B12" s="10" t="inlineStr">
        <is>
          <t>TanAnh Pham</t>
        </is>
      </c>
      <c r="C12" s="9" t="n">
        <v>49</v>
      </c>
      <c r="D12" s="9">
        <f>COUNTIFS('📋 Báo Cáo 49 Ngày'!$F$5:$F$445, B12, '📋 Báo Cáo 49 Ngày'!$G$5:$G$445, "&lt;&gt;")</f>
        <v/>
      </c>
      <c r="E12" s="9" t="n">
        <v>98</v>
      </c>
      <c r="F12" s="9">
        <f>COUNTIFS('📋 Báo Cáo 49 Ngày'!$F$5:$F$445, B12, '📋 Báo Cáo 49 Ngày'!$I$5:$I$445, "&lt;&gt;") + COUNTIFS('📋 Báo Cáo 49 Ngày'!$F$5:$F$445, B12, '📋 Báo Cáo 49 Ngày'!$K$5:$K$445, "&lt;&gt;")</f>
        <v/>
      </c>
      <c r="G12" s="9" t="n">
        <v>49</v>
      </c>
      <c r="H12" s="9">
        <f>COUNTIFS('📋 Báo Cáo 49 Ngày'!$F$5:$F$445, B12, '📋 Báo Cáo 49 Ngày'!$M$5:$M$445, "&lt;&gt;")</f>
        <v/>
      </c>
      <c r="I12" s="9">
        <f>C12+E12+G12</f>
        <v/>
      </c>
      <c r="J12" s="11">
        <f>D12+F12+H12</f>
        <v/>
      </c>
      <c r="K12" s="12">
        <f>IF(I12&gt;0, J12/I12, 0)</f>
        <v/>
      </c>
      <c r="L12" s="11">
        <f>IF(K12&gt;=1, "⭐ Xuất sắc (100%)", IF(K12&gt;=0.8, "🔥 Rất Tốt (&gt;=80%)", IF(K12&gt;=0.5, "⚡ Đang Tiến Bộ", "⚠️ Cần Tăng Tốc")))</f>
        <v/>
      </c>
    </row>
    <row r="13">
      <c r="A13" s="5" t="n">
        <v>7</v>
      </c>
      <c r="B13" s="6" t="inlineStr">
        <is>
          <t>Thảo Collins Edu</t>
        </is>
      </c>
      <c r="C13" s="5" t="n">
        <v>49</v>
      </c>
      <c r="D13" s="5">
        <f>COUNTIFS('📋 Báo Cáo 49 Ngày'!$F$5:$F$445, B13, '📋 Báo Cáo 49 Ngày'!$G$5:$G$445, "&lt;&gt;")</f>
        <v/>
      </c>
      <c r="E13" s="5" t="n">
        <v>98</v>
      </c>
      <c r="F13" s="5">
        <f>COUNTIFS('📋 Báo Cáo 49 Ngày'!$F$5:$F$445, B13, '📋 Báo Cáo 49 Ngày'!$I$5:$I$445, "&lt;&gt;") + COUNTIFS('📋 Báo Cáo 49 Ngày'!$F$5:$F$445, B13, '📋 Báo Cáo 49 Ngày'!$K$5:$K$445, "&lt;&gt;")</f>
        <v/>
      </c>
      <c r="G13" s="5" t="n">
        <v>49</v>
      </c>
      <c r="H13" s="5">
        <f>COUNTIFS('📋 Báo Cáo 49 Ngày'!$F$5:$F$445, B13, '📋 Báo Cáo 49 Ngày'!$M$5:$M$445, "&lt;&gt;")</f>
        <v/>
      </c>
      <c r="I13" s="5">
        <f>C13+E13+G13</f>
        <v/>
      </c>
      <c r="J13" s="7">
        <f>D13+F13+H13</f>
        <v/>
      </c>
      <c r="K13" s="8">
        <f>IF(I13&gt;0, J13/I13, 0)</f>
        <v/>
      </c>
      <c r="L13" s="7">
        <f>IF(K13&gt;=1, "⭐ Xuất sắc (100%)", IF(K13&gt;=0.8, "🔥 Rất Tốt (&gt;=80%)", IF(K13&gt;=0.5, "⚡ Đang Tiến Bộ", "⚠️ Cần Tăng Tốc")))</f>
        <v/>
      </c>
    </row>
    <row r="14">
      <c r="A14" s="9" t="n">
        <v>8</v>
      </c>
      <c r="B14" s="10" t="inlineStr">
        <is>
          <t>Trần Quế Lam</t>
        </is>
      </c>
      <c r="C14" s="9" t="n">
        <v>49</v>
      </c>
      <c r="D14" s="9">
        <f>COUNTIFS('📋 Báo Cáo 49 Ngày'!$F$5:$F$445, B14, '📋 Báo Cáo 49 Ngày'!$G$5:$G$445, "&lt;&gt;")</f>
        <v/>
      </c>
      <c r="E14" s="9" t="n">
        <v>98</v>
      </c>
      <c r="F14" s="9">
        <f>COUNTIFS('📋 Báo Cáo 49 Ngày'!$F$5:$F$445, B14, '📋 Báo Cáo 49 Ngày'!$I$5:$I$445, "&lt;&gt;") + COUNTIFS('📋 Báo Cáo 49 Ngày'!$F$5:$F$445, B14, '📋 Báo Cáo 49 Ngày'!$K$5:$K$445, "&lt;&gt;")</f>
        <v/>
      </c>
      <c r="G14" s="9" t="n">
        <v>49</v>
      </c>
      <c r="H14" s="9">
        <f>COUNTIFS('📋 Báo Cáo 49 Ngày'!$F$5:$F$445, B14, '📋 Báo Cáo 49 Ngày'!$M$5:$M$445, "&lt;&gt;")</f>
        <v/>
      </c>
      <c r="I14" s="9">
        <f>C14+E14+G14</f>
        <v/>
      </c>
      <c r="J14" s="11">
        <f>D14+F14+H14</f>
        <v/>
      </c>
      <c r="K14" s="12">
        <f>IF(I14&gt;0, J14/I14, 0)</f>
        <v/>
      </c>
      <c r="L14" s="11">
        <f>IF(K14&gt;=1, "⭐ Xuất sắc (100%)", IF(K14&gt;=0.8, "🔥 Rất Tốt (&gt;=80%)", IF(K14&gt;=0.5, "⚡ Đang Tiến Bộ", "⚠️ Cần Tăng Tốc")))</f>
        <v/>
      </c>
    </row>
    <row r="15">
      <c r="A15" s="5" t="n">
        <v>9</v>
      </c>
      <c r="B15" s="6" t="inlineStr">
        <is>
          <t>Phạm Huyền</t>
        </is>
      </c>
      <c r="C15" s="5" t="n">
        <v>49</v>
      </c>
      <c r="D15" s="5">
        <f>COUNTIFS('📋 Báo Cáo 49 Ngày'!$F$5:$F$445, B15, '📋 Báo Cáo 49 Ngày'!$G$5:$G$445, "&lt;&gt;")</f>
        <v/>
      </c>
      <c r="E15" s="5" t="n">
        <v>98</v>
      </c>
      <c r="F15" s="5">
        <f>COUNTIFS('📋 Báo Cáo 49 Ngày'!$F$5:$F$445, B15, '📋 Báo Cáo 49 Ngày'!$I$5:$I$445, "&lt;&gt;") + COUNTIFS('📋 Báo Cáo 49 Ngày'!$F$5:$F$445, B15, '📋 Báo Cáo 49 Ngày'!$K$5:$K$445, "&lt;&gt;")</f>
        <v/>
      </c>
      <c r="G15" s="5" t="n">
        <v>49</v>
      </c>
      <c r="H15" s="5">
        <f>COUNTIFS('📋 Báo Cáo 49 Ngày'!$F$5:$F$445, B15, '📋 Báo Cáo 49 Ngày'!$M$5:$M$445, "&lt;&gt;")</f>
        <v/>
      </c>
      <c r="I15" s="5">
        <f>C15+E15+G15</f>
        <v/>
      </c>
      <c r="J15" s="7">
        <f>D15+F15+H15</f>
        <v/>
      </c>
      <c r="K15" s="8">
        <f>IF(I15&gt;0, J15/I15, 0)</f>
        <v/>
      </c>
      <c r="L15" s="7">
        <f>IF(K15&gt;=1, "⭐ Xuất sắc (100%)", IF(K15&gt;=0.8, "🔥 Rất Tốt (&gt;=80%)", IF(K15&gt;=0.5, "⚡ Đang Tiến Bộ", "⚠️ Cần Tăng Tốc")))</f>
        <v/>
      </c>
    </row>
    <row r="16">
      <c r="A16" s="13" t="inlineStr">
        <is>
          <t>TỔNG CỘNG TOÀN NHÓM</t>
        </is>
      </c>
      <c r="B16" s="14" t="n"/>
      <c r="C16" s="13">
        <f>SUM(C7:C15)</f>
        <v/>
      </c>
      <c r="D16" s="13">
        <f>SUM(D7:D15)</f>
        <v/>
      </c>
      <c r="E16" s="13">
        <f>SUM(E7:E15)</f>
        <v/>
      </c>
      <c r="F16" s="13">
        <f>SUM(F7:F15)</f>
        <v/>
      </c>
      <c r="G16" s="13">
        <f>SUM(G7:G15)</f>
        <v/>
      </c>
      <c r="H16" s="13">
        <f>SUM(H7:H15)</f>
        <v/>
      </c>
      <c r="I16" s="13">
        <f>SUM(I7:I15)</f>
        <v/>
      </c>
      <c r="J16" s="13">
        <f>SUM(J7:J15)</f>
        <v/>
      </c>
      <c r="K16" s="15">
        <f>IF(I16&gt;0, J16/I16, 0)</f>
        <v/>
      </c>
      <c r="L16" s="13">
        <f>IF(K16&gt;=0.8, "🎉 Toàn nhóm đạt chỉ tiêu", "💪 Cùng nhau cố gắng")</f>
        <v/>
      </c>
    </row>
    <row r="19">
      <c r="A19" s="3" t="inlineStr">
        <is>
          <t>📅 BẢNG TIẾN ĐỘ THEO TỪNG TUẦN (08/09 -&gt; 26/10/2026)</t>
        </is>
      </c>
    </row>
    <row r="20">
      <c r="A20" s="16" t="inlineStr">
        <is>
          <t>Tuần</t>
        </is>
      </c>
      <c r="B20" s="16" t="inlineStr">
        <is>
          <t>Khoảng Thời Gian</t>
        </is>
      </c>
      <c r="C20" s="16" t="inlineStr">
        <is>
          <t>Tổng NV Cả Nhóm</t>
        </is>
      </c>
      <c r="D20" s="16" t="inlineStr">
        <is>
          <t>Reel Đã Nộp</t>
        </is>
      </c>
      <c r="E20" s="16" t="inlineStr">
        <is>
          <t>Bài FB Đã Nộp</t>
        </is>
      </c>
      <c r="F20" s="16" t="inlineStr">
        <is>
          <t>Bài Tập Đã Nộp</t>
        </is>
      </c>
      <c r="G20" s="16" t="inlineStr">
        <is>
          <t>Tổng Đã Nộp</t>
        </is>
      </c>
      <c r="H20" s="16" t="inlineStr">
        <is>
          <t>Tỷ Lệ Đạt (%)</t>
        </is>
      </c>
      <c r="I20" s="16" t="inlineStr">
        <is>
          <t>Tình Trạng Tuần</t>
        </is>
      </c>
    </row>
    <row r="21">
      <c r="A21" s="7" t="inlineStr">
        <is>
          <t>Tuần 1</t>
        </is>
      </c>
      <c r="B21" s="5" t="inlineStr">
        <is>
          <t>08/09 - 14/09/2026</t>
        </is>
      </c>
      <c r="C21" s="5" t="n">
        <v>252</v>
      </c>
      <c r="D21" s="5">
        <f>COUNTIFS('📋 Báo Cáo 49 Ngày'!$B$5:$B$445, "Tuần " &amp; 1, '📋 Báo Cáo 49 Ngày'!$G$5:$G$445, "&lt;&gt;")</f>
        <v/>
      </c>
      <c r="E21" s="5">
        <f>COUNTIFS('📋 Báo Cáo 49 Ngày'!$B$5:$B$445, "Tuần " &amp; 1, '📋 Báo Cáo 49 Ngày'!$I$5:$I$445, "&lt;&gt;") + COUNTIFS('📋 Báo Cáo 49 Ngày'!$B$5:$B$445, "Tuần " &amp; 1, '📋 Báo Cáo 49 Ngày'!$K$5:$K$445, "&lt;&gt;")</f>
        <v/>
      </c>
      <c r="F21" s="5">
        <f>COUNTIFS('📋 Báo Cáo 49 Ngày'!$B$5:$B$445, "Tuần " &amp; 1, '📋 Báo Cáo 49 Ngày'!$M$5:$M$445, "&lt;&gt;")</f>
        <v/>
      </c>
      <c r="G21" s="7">
        <f>D21+E21+F21</f>
        <v/>
      </c>
      <c r="H21" s="8">
        <f>IF(C21&gt;0, G21/C21, 0)</f>
        <v/>
      </c>
      <c r="I21" s="7">
        <f>IF(H21&gt;=0.9, "✅ Về đích xuất sắc", IF(H21&gt;=0.7, "⚡ Tiến độ ổn định", IF(H21&gt;0, "⏳ Đang thực hiện", "⚪ Chưa bắt đầu")))</f>
        <v/>
      </c>
    </row>
    <row r="22">
      <c r="A22" s="11" t="inlineStr">
        <is>
          <t>Tuần 2</t>
        </is>
      </c>
      <c r="B22" s="9" t="inlineStr">
        <is>
          <t>15/09 - 21/09/2026</t>
        </is>
      </c>
      <c r="C22" s="9" t="n">
        <v>252</v>
      </c>
      <c r="D22" s="9">
        <f>COUNTIFS('📋 Báo Cáo 49 Ngày'!$B$5:$B$445, "Tuần " &amp; 2, '📋 Báo Cáo 49 Ngày'!$G$5:$G$445, "&lt;&gt;")</f>
        <v/>
      </c>
      <c r="E22" s="9">
        <f>COUNTIFS('📋 Báo Cáo 49 Ngày'!$B$5:$B$445, "Tuần " &amp; 2, '📋 Báo Cáo 49 Ngày'!$I$5:$I$445, "&lt;&gt;") + COUNTIFS('📋 Báo Cáo 49 Ngày'!$B$5:$B$445, "Tuần " &amp; 2, '📋 Báo Cáo 49 Ngày'!$K$5:$K$445, "&lt;&gt;")</f>
        <v/>
      </c>
      <c r="F22" s="9">
        <f>COUNTIFS('📋 Báo Cáo 49 Ngày'!$B$5:$B$445, "Tuần " &amp; 2, '📋 Báo Cáo 49 Ngày'!$M$5:$M$445, "&lt;&gt;")</f>
        <v/>
      </c>
      <c r="G22" s="11">
        <f>D22+E22+F22</f>
        <v/>
      </c>
      <c r="H22" s="12">
        <f>IF(C22&gt;0, G22/C22, 0)</f>
        <v/>
      </c>
      <c r="I22" s="11">
        <f>IF(H22&gt;=0.9, "✅ Về đích xuất sắc", IF(H22&gt;=0.7, "⚡ Tiến độ ổn định", IF(H22&gt;0, "⏳ Đang thực hiện", "⚪ Chưa bắt đầu")))</f>
        <v/>
      </c>
    </row>
    <row r="23">
      <c r="A23" s="7" t="inlineStr">
        <is>
          <t>Tuần 3</t>
        </is>
      </c>
      <c r="B23" s="5" t="inlineStr">
        <is>
          <t>22/09 - 28/09/2026</t>
        </is>
      </c>
      <c r="C23" s="5" t="n">
        <v>252</v>
      </c>
      <c r="D23" s="5">
        <f>COUNTIFS('📋 Báo Cáo 49 Ngày'!$B$5:$B$445, "Tuần " &amp; 3, '📋 Báo Cáo 49 Ngày'!$G$5:$G$445, "&lt;&gt;")</f>
        <v/>
      </c>
      <c r="E23" s="5">
        <f>COUNTIFS('📋 Báo Cáo 49 Ngày'!$B$5:$B$445, "Tuần " &amp; 3, '📋 Báo Cáo 49 Ngày'!$I$5:$I$445, "&lt;&gt;") + COUNTIFS('📋 Báo Cáo 49 Ngày'!$B$5:$B$445, "Tuần " &amp; 3, '📋 Báo Cáo 49 Ngày'!$K$5:$K$445, "&lt;&gt;")</f>
        <v/>
      </c>
      <c r="F23" s="5">
        <f>COUNTIFS('📋 Báo Cáo 49 Ngày'!$B$5:$B$445, "Tuần " &amp; 3, '📋 Báo Cáo 49 Ngày'!$M$5:$M$445, "&lt;&gt;")</f>
        <v/>
      </c>
      <c r="G23" s="7">
        <f>D23+E23+F23</f>
        <v/>
      </c>
      <c r="H23" s="8">
        <f>IF(C23&gt;0, G23/C23, 0)</f>
        <v/>
      </c>
      <c r="I23" s="7">
        <f>IF(H23&gt;=0.9, "✅ Về đích xuất sắc", IF(H23&gt;=0.7, "⚡ Tiến độ ổn định", IF(H23&gt;0, "⏳ Đang thực hiện", "⚪ Chưa bắt đầu")))</f>
        <v/>
      </c>
    </row>
    <row r="24">
      <c r="A24" s="11" t="inlineStr">
        <is>
          <t>Tuần 4</t>
        </is>
      </c>
      <c r="B24" s="9" t="inlineStr">
        <is>
          <t>29/09 - 05/10/2026</t>
        </is>
      </c>
      <c r="C24" s="9" t="n">
        <v>252</v>
      </c>
      <c r="D24" s="9">
        <f>COUNTIFS('📋 Báo Cáo 49 Ngày'!$B$5:$B$445, "Tuần " &amp; 4, '📋 Báo Cáo 49 Ngày'!$G$5:$G$445, "&lt;&gt;")</f>
        <v/>
      </c>
      <c r="E24" s="9">
        <f>COUNTIFS('📋 Báo Cáo 49 Ngày'!$B$5:$B$445, "Tuần " &amp; 4, '📋 Báo Cáo 49 Ngày'!$I$5:$I$445, "&lt;&gt;") + COUNTIFS('📋 Báo Cáo 49 Ngày'!$B$5:$B$445, "Tuần " &amp; 4, '📋 Báo Cáo 49 Ngày'!$K$5:$K$445, "&lt;&gt;")</f>
        <v/>
      </c>
      <c r="F24" s="9">
        <f>COUNTIFS('📋 Báo Cáo 49 Ngày'!$B$5:$B$445, "Tuần " &amp; 4, '📋 Báo Cáo 49 Ngày'!$M$5:$M$445, "&lt;&gt;")</f>
        <v/>
      </c>
      <c r="G24" s="11">
        <f>D24+E24+F24</f>
        <v/>
      </c>
      <c r="H24" s="12">
        <f>IF(C24&gt;0, G24/C24, 0)</f>
        <v/>
      </c>
      <c r="I24" s="11">
        <f>IF(H24&gt;=0.9, "✅ Về đích xuất sắc", IF(H24&gt;=0.7, "⚡ Tiến độ ổn định", IF(H24&gt;0, "⏳ Đang thực hiện", "⚪ Chưa bắt đầu")))</f>
        <v/>
      </c>
    </row>
    <row r="25">
      <c r="A25" s="7" t="inlineStr">
        <is>
          <t>Tuần 5</t>
        </is>
      </c>
      <c r="B25" s="5" t="inlineStr">
        <is>
          <t>06/10 - 12/10/2026</t>
        </is>
      </c>
      <c r="C25" s="5" t="n">
        <v>252</v>
      </c>
      <c r="D25" s="5">
        <f>COUNTIFS('📋 Báo Cáo 49 Ngày'!$B$5:$B$445, "Tuần " &amp; 5, '📋 Báo Cáo 49 Ngày'!$G$5:$G$445, "&lt;&gt;")</f>
        <v/>
      </c>
      <c r="E25" s="5">
        <f>COUNTIFS('📋 Báo Cáo 49 Ngày'!$B$5:$B$445, "Tuần " &amp; 5, '📋 Báo Cáo 49 Ngày'!$I$5:$I$445, "&lt;&gt;") + COUNTIFS('📋 Báo Cáo 49 Ngày'!$B$5:$B$445, "Tuần " &amp; 5, '📋 Báo Cáo 49 Ngày'!$K$5:$K$445, "&lt;&gt;")</f>
        <v/>
      </c>
      <c r="F25" s="5">
        <f>COUNTIFS('📋 Báo Cáo 49 Ngày'!$B$5:$B$445, "Tuần " &amp; 5, '📋 Báo Cáo 49 Ngày'!$M$5:$M$445, "&lt;&gt;")</f>
        <v/>
      </c>
      <c r="G25" s="7">
        <f>D25+E25+F25</f>
        <v/>
      </c>
      <c r="H25" s="8">
        <f>IF(C25&gt;0, G25/C25, 0)</f>
        <v/>
      </c>
      <c r="I25" s="7">
        <f>IF(H25&gt;=0.9, "✅ Về đích xuất sắc", IF(H25&gt;=0.7, "⚡ Tiến độ ổn định", IF(H25&gt;0, "⏳ Đang thực hiện", "⚪ Chưa bắt đầu")))</f>
        <v/>
      </c>
    </row>
    <row r="26">
      <c r="A26" s="11" t="inlineStr">
        <is>
          <t>Tuần 6</t>
        </is>
      </c>
      <c r="B26" s="9" t="inlineStr">
        <is>
          <t>13/10 - 19/10/2026</t>
        </is>
      </c>
      <c r="C26" s="9" t="n">
        <v>252</v>
      </c>
      <c r="D26" s="9">
        <f>COUNTIFS('📋 Báo Cáo 49 Ngày'!$B$5:$B$445, "Tuần " &amp; 6, '📋 Báo Cáo 49 Ngày'!$G$5:$G$445, "&lt;&gt;")</f>
        <v/>
      </c>
      <c r="E26" s="9">
        <f>COUNTIFS('📋 Báo Cáo 49 Ngày'!$B$5:$B$445, "Tuần " &amp; 6, '📋 Báo Cáo 49 Ngày'!$I$5:$I$445, "&lt;&gt;") + COUNTIFS('📋 Báo Cáo 49 Ngày'!$B$5:$B$445, "Tuần " &amp; 6, '📋 Báo Cáo 49 Ngày'!$K$5:$K$445, "&lt;&gt;")</f>
        <v/>
      </c>
      <c r="F26" s="9">
        <f>COUNTIFS('📋 Báo Cáo 49 Ngày'!$B$5:$B$445, "Tuần " &amp; 6, '📋 Báo Cáo 49 Ngày'!$M$5:$M$445, "&lt;&gt;")</f>
        <v/>
      </c>
      <c r="G26" s="11">
        <f>D26+E26+F26</f>
        <v/>
      </c>
      <c r="H26" s="12">
        <f>IF(C26&gt;0, G26/C26, 0)</f>
        <v/>
      </c>
      <c r="I26" s="11">
        <f>IF(H26&gt;=0.9, "✅ Về đích xuất sắc", IF(H26&gt;=0.7, "⚡ Tiến độ ổn định", IF(H26&gt;0, "⏳ Đang thực hiện", "⚪ Chưa bắt đầu")))</f>
        <v/>
      </c>
    </row>
    <row r="27">
      <c r="A27" s="7" t="inlineStr">
        <is>
          <t>Tuần 7</t>
        </is>
      </c>
      <c r="B27" s="5" t="inlineStr">
        <is>
          <t>20/10 - 26/10/2026</t>
        </is>
      </c>
      <c r="C27" s="5" t="n">
        <v>252</v>
      </c>
      <c r="D27" s="5">
        <f>COUNTIFS('📋 Báo Cáo 49 Ngày'!$B$5:$B$445, "Tuần " &amp; 7, '📋 Báo Cáo 49 Ngày'!$G$5:$G$445, "&lt;&gt;")</f>
        <v/>
      </c>
      <c r="E27" s="5">
        <f>COUNTIFS('📋 Báo Cáo 49 Ngày'!$B$5:$B$445, "Tuần " &amp; 7, '📋 Báo Cáo 49 Ngày'!$I$5:$I$445, "&lt;&gt;") + COUNTIFS('📋 Báo Cáo 49 Ngày'!$B$5:$B$445, "Tuần " &amp; 7, '📋 Báo Cáo 49 Ngày'!$K$5:$K$445, "&lt;&gt;")</f>
        <v/>
      </c>
      <c r="F27" s="5">
        <f>COUNTIFS('📋 Báo Cáo 49 Ngày'!$B$5:$B$445, "Tuần " &amp; 7, '📋 Báo Cáo 49 Ngày'!$M$5:$M$445, "&lt;&gt;")</f>
        <v/>
      </c>
      <c r="G27" s="7">
        <f>D27+E27+F27</f>
        <v/>
      </c>
      <c r="H27" s="8">
        <f>IF(C27&gt;0, G27/C27, 0)</f>
        <v/>
      </c>
      <c r="I27" s="7">
        <f>IF(H27&gt;=0.9, "✅ Về đích xuất sắc", IF(H27&gt;=0.7, "⚡ Tiến độ ổn định", IF(H27&gt;0, "⏳ Đang thực hiện", "⚪ Chưa bắt đầu")))</f>
        <v/>
      </c>
    </row>
  </sheetData>
  <mergeCells count="3">
    <mergeCell ref="A3:L3"/>
    <mergeCell ref="A16:B16"/>
    <mergeCell ref="A1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0" customWidth="1" min="5" max="5"/>
    <col width="18" customWidth="1" min="6" max="6"/>
    <col width="24" customWidth="1" min="7" max="7"/>
    <col width="22" customWidth="1" min="8" max="8"/>
    <col width="24" customWidth="1" min="9" max="9"/>
    <col width="22" customWidth="1" min="10" max="10"/>
    <col width="24" customWidth="1" min="11" max="11"/>
    <col width="22" customWidth="1" min="12" max="12"/>
    <col width="24" customWidth="1" min="13" max="13"/>
    <col width="22" customWidth="1" min="14" max="14"/>
    <col width="15" customWidth="1" min="15" max="15"/>
    <col width="18" customWidth="1" min="16" max="16"/>
  </cols>
  <sheetData>
    <row r="1">
      <c r="A1" s="1" t="inlineStr">
        <is>
          <t>📋 BẢNG BÁO CÁO CHI TIẾT 49 NGÀY - DÁN LINK &amp; HÌNH ẢNH MINH CHỨNG</t>
        </is>
      </c>
    </row>
    <row r="2"/>
    <row r="3">
      <c r="A3" s="17" t="inlineStr">
        <is>
          <t>💡 Hướng dẫn: Thành viên dán Link Facebook hoặc Link Ảnh Drive/Chèn ảnh chụp màn hình vào các cột tương ứng. Hệ thống tự động đếm &amp; tính % hoàn thành.</t>
        </is>
      </c>
    </row>
    <row r="4">
      <c r="A4" s="4" t="inlineStr">
        <is>
          <t>STT</t>
        </is>
      </c>
      <c r="B4" s="4" t="inlineStr">
        <is>
          <t>Tuần</t>
        </is>
      </c>
      <c r="C4" s="4" t="inlineStr">
        <is>
          <t>Thứ</t>
        </is>
      </c>
      <c r="D4" s="4" t="inlineStr">
        <is>
          <t>Ngày</t>
        </is>
      </c>
      <c r="E4" s="4" t="inlineStr">
        <is>
          <t>Ngày Thứ</t>
        </is>
      </c>
      <c r="F4" s="4" t="inlineStr">
        <is>
          <t>Thành Viên</t>
        </is>
      </c>
      <c r="G4" s="4" t="inlineStr">
        <is>
          <t>Link Reel FB</t>
        </is>
      </c>
      <c r="H4" s="4" t="inlineStr">
        <is>
          <t>Ảnh Minh Chứng Reel</t>
        </is>
      </c>
      <c r="I4" s="4" t="inlineStr">
        <is>
          <t>Link Bài Viết 1</t>
        </is>
      </c>
      <c r="J4" s="4" t="inlineStr">
        <is>
          <t>Ảnh Bài Viết 1</t>
        </is>
      </c>
      <c r="K4" s="4" t="inlineStr">
        <is>
          <t>Link Bài Viết 2</t>
        </is>
      </c>
      <c r="L4" s="4" t="inlineStr">
        <is>
          <t>Ảnh Bài Viết 2</t>
        </is>
      </c>
      <c r="M4" s="4" t="inlineStr">
        <is>
          <t>Link Bài Tập Nhóm</t>
        </is>
      </c>
      <c r="N4" s="4" t="inlineStr">
        <is>
          <t>Ảnh Bài Tập Nhóm</t>
        </is>
      </c>
      <c r="O4" s="4" t="inlineStr">
        <is>
          <t>Hoàn Thành (/4)</t>
        </is>
      </c>
      <c r="P4" s="4" t="inlineStr">
        <is>
          <t>Trạng Thái Ngày</t>
        </is>
      </c>
    </row>
    <row r="5">
      <c r="A5" s="5" t="n">
        <v>1</v>
      </c>
      <c r="B5" s="5" t="inlineStr">
        <is>
          <t>Tuần 1</t>
        </is>
      </c>
      <c r="C5" s="5" t="inlineStr">
        <is>
          <t>Thứ 3</t>
        </is>
      </c>
      <c r="D5" s="5" t="inlineStr">
        <is>
          <t>08/09/2026</t>
        </is>
      </c>
      <c r="E5" s="5" t="inlineStr">
        <is>
          <t>Ngày 01</t>
        </is>
      </c>
      <c r="F5" s="6" t="inlineStr">
        <is>
          <t>Nancy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7">
        <f>IF(OR(G5&lt;&gt;"",H5&lt;&gt;""),1,0) + IF(OR(I5&lt;&gt;"",J5&lt;&gt;""),1,0) + IF(OR(K5&lt;&gt;"",L5&lt;&gt;""),1,0) + IF(OR(M5&lt;&gt;"",N5&lt;&gt;""),1,0)</f>
        <v/>
      </c>
      <c r="P5" s="5">
        <f>IF(O5=4,"✅ Đủ 4 nhiệm vụ",IF(O5&gt;0,"⏳ Đạt "&amp;O5&amp;"/4","❌ Chưa nộp"))</f>
        <v/>
      </c>
    </row>
    <row r="6">
      <c r="A6" s="5" t="n">
        <v>2</v>
      </c>
      <c r="B6" s="5" t="inlineStr">
        <is>
          <t>Tuần 1</t>
        </is>
      </c>
      <c r="C6" s="5" t="inlineStr">
        <is>
          <t>Thứ 3</t>
        </is>
      </c>
      <c r="D6" s="5" t="inlineStr">
        <is>
          <t>08/09/2026</t>
        </is>
      </c>
      <c r="E6" s="5" t="inlineStr">
        <is>
          <t>Ngày 01</t>
        </is>
      </c>
      <c r="F6" s="6" t="inlineStr">
        <is>
          <t>Hoài Học Mãi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7">
        <f>IF(OR(G6&lt;&gt;"",H6&lt;&gt;""),1,0) + IF(OR(I6&lt;&gt;"",J6&lt;&gt;""),1,0) + IF(OR(K6&lt;&gt;"",L6&lt;&gt;""),1,0) + IF(OR(M6&lt;&gt;"",N6&lt;&gt;""),1,0)</f>
        <v/>
      </c>
      <c r="P6" s="5">
        <f>IF(O6=4,"✅ Đủ 4 nhiệm vụ",IF(O6&gt;0,"⏳ Đạt "&amp;O6&amp;"/4","❌ Chưa nộp"))</f>
        <v/>
      </c>
    </row>
    <row r="7">
      <c r="A7" s="5" t="n">
        <v>3</v>
      </c>
      <c r="B7" s="5" t="inlineStr">
        <is>
          <t>Tuần 1</t>
        </is>
      </c>
      <c r="C7" s="5" t="inlineStr">
        <is>
          <t>Thứ 3</t>
        </is>
      </c>
      <c r="D7" s="5" t="inlineStr">
        <is>
          <t>08/09/2026</t>
        </is>
      </c>
      <c r="E7" s="5" t="inlineStr">
        <is>
          <t>Ngày 01</t>
        </is>
      </c>
      <c r="F7" s="6" t="inlineStr">
        <is>
          <t>Lambee</t>
        </is>
      </c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7">
        <f>IF(OR(G7&lt;&gt;"",H7&lt;&gt;""),1,0) + IF(OR(I7&lt;&gt;"",J7&lt;&gt;""),1,0) + IF(OR(K7&lt;&gt;"",L7&lt;&gt;""),1,0) + IF(OR(M7&lt;&gt;"",N7&lt;&gt;""),1,0)</f>
        <v/>
      </c>
      <c r="P7" s="5">
        <f>IF(O7=4,"✅ Đủ 4 nhiệm vụ",IF(O7&gt;0,"⏳ Đạt "&amp;O7&amp;"/4","❌ Chưa nộp"))</f>
        <v/>
      </c>
    </row>
    <row r="8">
      <c r="A8" s="5" t="n">
        <v>4</v>
      </c>
      <c r="B8" s="5" t="inlineStr">
        <is>
          <t>Tuần 1</t>
        </is>
      </c>
      <c r="C8" s="5" t="inlineStr">
        <is>
          <t>Thứ 3</t>
        </is>
      </c>
      <c r="D8" s="5" t="inlineStr">
        <is>
          <t>08/09/2026</t>
        </is>
      </c>
      <c r="E8" s="5" t="inlineStr">
        <is>
          <t>Ngày 01</t>
        </is>
      </c>
      <c r="F8" s="6" t="inlineStr">
        <is>
          <t>Nhung Hoàng</t>
        </is>
      </c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7">
        <f>IF(OR(G8&lt;&gt;"",H8&lt;&gt;""),1,0) + IF(OR(I8&lt;&gt;"",J8&lt;&gt;""),1,0) + IF(OR(K8&lt;&gt;"",L8&lt;&gt;""),1,0) + IF(OR(M8&lt;&gt;"",N8&lt;&gt;""),1,0)</f>
        <v/>
      </c>
      <c r="P8" s="5">
        <f>IF(O8=4,"✅ Đủ 4 nhiệm vụ",IF(O8&gt;0,"⏳ Đạt "&amp;O8&amp;"/4","❌ Chưa nộp"))</f>
        <v/>
      </c>
    </row>
    <row r="9">
      <c r="A9" s="5" t="n">
        <v>5</v>
      </c>
      <c r="B9" s="5" t="inlineStr">
        <is>
          <t>Tuần 1</t>
        </is>
      </c>
      <c r="C9" s="5" t="inlineStr">
        <is>
          <t>Thứ 3</t>
        </is>
      </c>
      <c r="D9" s="5" t="inlineStr">
        <is>
          <t>08/09/2026</t>
        </is>
      </c>
      <c r="E9" s="5" t="inlineStr">
        <is>
          <t>Ngày 01</t>
        </is>
      </c>
      <c r="F9" s="6" t="inlineStr">
        <is>
          <t>Quỳnh Thu</t>
        </is>
      </c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7">
        <f>IF(OR(G9&lt;&gt;"",H9&lt;&gt;""),1,0) + IF(OR(I9&lt;&gt;"",J9&lt;&gt;""),1,0) + IF(OR(K9&lt;&gt;"",L9&lt;&gt;""),1,0) + IF(OR(M9&lt;&gt;"",N9&lt;&gt;""),1,0)</f>
        <v/>
      </c>
      <c r="P9" s="5">
        <f>IF(O9=4,"✅ Đủ 4 nhiệm vụ",IF(O9&gt;0,"⏳ Đạt "&amp;O9&amp;"/4","❌ Chưa nộp"))</f>
        <v/>
      </c>
    </row>
    <row r="10">
      <c r="A10" s="5" t="n">
        <v>6</v>
      </c>
      <c r="B10" s="5" t="inlineStr">
        <is>
          <t>Tuần 1</t>
        </is>
      </c>
      <c r="C10" s="5" t="inlineStr">
        <is>
          <t>Thứ 3</t>
        </is>
      </c>
      <c r="D10" s="5" t="inlineStr">
        <is>
          <t>08/09/2026</t>
        </is>
      </c>
      <c r="E10" s="5" t="inlineStr">
        <is>
          <t>Ngày 01</t>
        </is>
      </c>
      <c r="F10" s="6" t="inlineStr">
        <is>
          <t>TanAnh Pham</t>
        </is>
      </c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7">
        <f>IF(OR(G10&lt;&gt;"",H10&lt;&gt;""),1,0) + IF(OR(I10&lt;&gt;"",J10&lt;&gt;""),1,0) + IF(OR(K10&lt;&gt;"",L10&lt;&gt;""),1,0) + IF(OR(M10&lt;&gt;"",N10&lt;&gt;""),1,0)</f>
        <v/>
      </c>
      <c r="P10" s="5">
        <f>IF(O10=4,"✅ Đủ 4 nhiệm vụ",IF(O10&gt;0,"⏳ Đạt "&amp;O10&amp;"/4","❌ Chưa nộp"))</f>
        <v/>
      </c>
    </row>
    <row r="11">
      <c r="A11" s="5" t="n">
        <v>7</v>
      </c>
      <c r="B11" s="5" t="inlineStr">
        <is>
          <t>Tuần 1</t>
        </is>
      </c>
      <c r="C11" s="5" t="inlineStr">
        <is>
          <t>Thứ 3</t>
        </is>
      </c>
      <c r="D11" s="5" t="inlineStr">
        <is>
          <t>08/09/2026</t>
        </is>
      </c>
      <c r="E11" s="5" t="inlineStr">
        <is>
          <t>Ngày 01</t>
        </is>
      </c>
      <c r="F11" s="6" t="inlineStr">
        <is>
          <t>Thảo Collins Edu</t>
        </is>
      </c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7">
        <f>IF(OR(G11&lt;&gt;"",H11&lt;&gt;""),1,0) + IF(OR(I11&lt;&gt;"",J11&lt;&gt;""),1,0) + IF(OR(K11&lt;&gt;"",L11&lt;&gt;""),1,0) + IF(OR(M11&lt;&gt;"",N11&lt;&gt;""),1,0)</f>
        <v/>
      </c>
      <c r="P11" s="5">
        <f>IF(O11=4,"✅ Đủ 4 nhiệm vụ",IF(O11&gt;0,"⏳ Đạt "&amp;O11&amp;"/4","❌ Chưa nộp"))</f>
        <v/>
      </c>
    </row>
    <row r="12">
      <c r="A12" s="5" t="n">
        <v>8</v>
      </c>
      <c r="B12" s="5" t="inlineStr">
        <is>
          <t>Tuần 1</t>
        </is>
      </c>
      <c r="C12" s="5" t="inlineStr">
        <is>
          <t>Thứ 3</t>
        </is>
      </c>
      <c r="D12" s="5" t="inlineStr">
        <is>
          <t>08/09/2026</t>
        </is>
      </c>
      <c r="E12" s="5" t="inlineStr">
        <is>
          <t>Ngày 01</t>
        </is>
      </c>
      <c r="F12" s="6" t="inlineStr">
        <is>
          <t>Trần Quế Lam</t>
        </is>
      </c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7">
        <f>IF(OR(G12&lt;&gt;"",H12&lt;&gt;""),1,0) + IF(OR(I12&lt;&gt;"",J12&lt;&gt;""),1,0) + IF(OR(K12&lt;&gt;"",L12&lt;&gt;""),1,0) + IF(OR(M12&lt;&gt;"",N12&lt;&gt;""),1,0)</f>
        <v/>
      </c>
      <c r="P12" s="5">
        <f>IF(O12=4,"✅ Đủ 4 nhiệm vụ",IF(O12&gt;0,"⏳ Đạt "&amp;O12&amp;"/4","❌ Chưa nộp"))</f>
        <v/>
      </c>
    </row>
    <row r="13">
      <c r="A13" s="5" t="n">
        <v>9</v>
      </c>
      <c r="B13" s="5" t="inlineStr">
        <is>
          <t>Tuần 1</t>
        </is>
      </c>
      <c r="C13" s="5" t="inlineStr">
        <is>
          <t>Thứ 3</t>
        </is>
      </c>
      <c r="D13" s="5" t="inlineStr">
        <is>
          <t>08/09/2026</t>
        </is>
      </c>
      <c r="E13" s="5" t="inlineStr">
        <is>
          <t>Ngày 01</t>
        </is>
      </c>
      <c r="F13" s="6" t="inlineStr">
        <is>
          <t>Phạm Huyền</t>
        </is>
      </c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7">
        <f>IF(OR(G13&lt;&gt;"",H13&lt;&gt;""),1,0) + IF(OR(I13&lt;&gt;"",J13&lt;&gt;""),1,0) + IF(OR(K13&lt;&gt;"",L13&lt;&gt;""),1,0) + IF(OR(M13&lt;&gt;"",N13&lt;&gt;""),1,0)</f>
        <v/>
      </c>
      <c r="P13" s="5">
        <f>IF(O13=4,"✅ Đủ 4 nhiệm vụ",IF(O13&gt;0,"⏳ Đạt "&amp;O13&amp;"/4","❌ Chưa nộp"))</f>
        <v/>
      </c>
    </row>
    <row r="14">
      <c r="A14" s="9" t="n">
        <v>10</v>
      </c>
      <c r="B14" s="9" t="inlineStr">
        <is>
          <t>Tuần 1</t>
        </is>
      </c>
      <c r="C14" s="9" t="inlineStr">
        <is>
          <t>Thứ 4</t>
        </is>
      </c>
      <c r="D14" s="9" t="inlineStr">
        <is>
          <t>09/09/2026</t>
        </is>
      </c>
      <c r="E14" s="9" t="inlineStr">
        <is>
          <t>Ngày 02</t>
        </is>
      </c>
      <c r="F14" s="10" t="inlineStr">
        <is>
          <t>Nancy</t>
        </is>
      </c>
      <c r="G14" s="1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1">
        <f>IF(OR(G14&lt;&gt;"",H14&lt;&gt;""),1,0) + IF(OR(I14&lt;&gt;"",J14&lt;&gt;""),1,0) + IF(OR(K14&lt;&gt;"",L14&lt;&gt;""),1,0) + IF(OR(M14&lt;&gt;"",N14&lt;&gt;""),1,0)</f>
        <v/>
      </c>
      <c r="P14" s="9">
        <f>IF(O14=4,"✅ Đủ 4 nhiệm vụ",IF(O14&gt;0,"⏳ Đạt "&amp;O14&amp;"/4","❌ Chưa nộp"))</f>
        <v/>
      </c>
    </row>
    <row r="15">
      <c r="A15" s="9" t="n">
        <v>11</v>
      </c>
      <c r="B15" s="9" t="inlineStr">
        <is>
          <t>Tuần 1</t>
        </is>
      </c>
      <c r="C15" s="9" t="inlineStr">
        <is>
          <t>Thứ 4</t>
        </is>
      </c>
      <c r="D15" s="9" t="inlineStr">
        <is>
          <t>09/09/2026</t>
        </is>
      </c>
      <c r="E15" s="9" t="inlineStr">
        <is>
          <t>Ngày 02</t>
        </is>
      </c>
      <c r="F15" s="10" t="inlineStr">
        <is>
          <t>Hoài Học Mãi</t>
        </is>
      </c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1">
        <f>IF(OR(G15&lt;&gt;"",H15&lt;&gt;""),1,0) + IF(OR(I15&lt;&gt;"",J15&lt;&gt;""),1,0) + IF(OR(K15&lt;&gt;"",L15&lt;&gt;""),1,0) + IF(OR(M15&lt;&gt;"",N15&lt;&gt;""),1,0)</f>
        <v/>
      </c>
      <c r="P15" s="9">
        <f>IF(O15=4,"✅ Đủ 4 nhiệm vụ",IF(O15&gt;0,"⏳ Đạt "&amp;O15&amp;"/4","❌ Chưa nộp"))</f>
        <v/>
      </c>
    </row>
    <row r="16">
      <c r="A16" s="9" t="n">
        <v>12</v>
      </c>
      <c r="B16" s="9" t="inlineStr">
        <is>
          <t>Tuần 1</t>
        </is>
      </c>
      <c r="C16" s="9" t="inlineStr">
        <is>
          <t>Thứ 4</t>
        </is>
      </c>
      <c r="D16" s="9" t="inlineStr">
        <is>
          <t>09/09/2026</t>
        </is>
      </c>
      <c r="E16" s="9" t="inlineStr">
        <is>
          <t>Ngày 02</t>
        </is>
      </c>
      <c r="F16" s="10" t="inlineStr">
        <is>
          <t>Lambee</t>
        </is>
      </c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1">
        <f>IF(OR(G16&lt;&gt;"",H16&lt;&gt;""),1,0) + IF(OR(I16&lt;&gt;"",J16&lt;&gt;""),1,0) + IF(OR(K16&lt;&gt;"",L16&lt;&gt;""),1,0) + IF(OR(M16&lt;&gt;"",N16&lt;&gt;""),1,0)</f>
        <v/>
      </c>
      <c r="P16" s="9">
        <f>IF(O16=4,"✅ Đủ 4 nhiệm vụ",IF(O16&gt;0,"⏳ Đạt "&amp;O16&amp;"/4","❌ Chưa nộp"))</f>
        <v/>
      </c>
    </row>
    <row r="17">
      <c r="A17" s="9" t="n">
        <v>13</v>
      </c>
      <c r="B17" s="9" t="inlineStr">
        <is>
          <t>Tuần 1</t>
        </is>
      </c>
      <c r="C17" s="9" t="inlineStr">
        <is>
          <t>Thứ 4</t>
        </is>
      </c>
      <c r="D17" s="9" t="inlineStr">
        <is>
          <t>09/09/2026</t>
        </is>
      </c>
      <c r="E17" s="9" t="inlineStr">
        <is>
          <t>Ngày 02</t>
        </is>
      </c>
      <c r="F17" s="10" t="inlineStr">
        <is>
          <t>Nhung Hoàng</t>
        </is>
      </c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1">
        <f>IF(OR(G17&lt;&gt;"",H17&lt;&gt;""),1,0) + IF(OR(I17&lt;&gt;"",J17&lt;&gt;""),1,0) + IF(OR(K17&lt;&gt;"",L17&lt;&gt;""),1,0) + IF(OR(M17&lt;&gt;"",N17&lt;&gt;""),1,0)</f>
        <v/>
      </c>
      <c r="P17" s="9">
        <f>IF(O17=4,"✅ Đủ 4 nhiệm vụ",IF(O17&gt;0,"⏳ Đạt "&amp;O17&amp;"/4","❌ Chưa nộp"))</f>
        <v/>
      </c>
    </row>
    <row r="18">
      <c r="A18" s="9" t="n">
        <v>14</v>
      </c>
      <c r="B18" s="9" t="inlineStr">
        <is>
          <t>Tuần 1</t>
        </is>
      </c>
      <c r="C18" s="9" t="inlineStr">
        <is>
          <t>Thứ 4</t>
        </is>
      </c>
      <c r="D18" s="9" t="inlineStr">
        <is>
          <t>09/09/2026</t>
        </is>
      </c>
      <c r="E18" s="9" t="inlineStr">
        <is>
          <t>Ngày 02</t>
        </is>
      </c>
      <c r="F18" s="10" t="inlineStr">
        <is>
          <t>Quỳnh Thu</t>
        </is>
      </c>
      <c r="G18" s="1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1">
        <f>IF(OR(G18&lt;&gt;"",H18&lt;&gt;""),1,0) + IF(OR(I18&lt;&gt;"",J18&lt;&gt;""),1,0) + IF(OR(K18&lt;&gt;"",L18&lt;&gt;""),1,0) + IF(OR(M18&lt;&gt;"",N18&lt;&gt;""),1,0)</f>
        <v/>
      </c>
      <c r="P18" s="9">
        <f>IF(O18=4,"✅ Đủ 4 nhiệm vụ",IF(O18&gt;0,"⏳ Đạt "&amp;O18&amp;"/4","❌ Chưa nộp"))</f>
        <v/>
      </c>
    </row>
    <row r="19">
      <c r="A19" s="9" t="n">
        <v>15</v>
      </c>
      <c r="B19" s="9" t="inlineStr">
        <is>
          <t>Tuần 1</t>
        </is>
      </c>
      <c r="C19" s="9" t="inlineStr">
        <is>
          <t>Thứ 4</t>
        </is>
      </c>
      <c r="D19" s="9" t="inlineStr">
        <is>
          <t>09/09/2026</t>
        </is>
      </c>
      <c r="E19" s="9" t="inlineStr">
        <is>
          <t>Ngày 02</t>
        </is>
      </c>
      <c r="F19" s="10" t="inlineStr">
        <is>
          <t>TanAnh Pham</t>
        </is>
      </c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1">
        <f>IF(OR(G19&lt;&gt;"",H19&lt;&gt;""),1,0) + IF(OR(I19&lt;&gt;"",J19&lt;&gt;""),1,0) + IF(OR(K19&lt;&gt;"",L19&lt;&gt;""),1,0) + IF(OR(M19&lt;&gt;"",N19&lt;&gt;""),1,0)</f>
        <v/>
      </c>
      <c r="P19" s="9">
        <f>IF(O19=4,"✅ Đủ 4 nhiệm vụ",IF(O19&gt;0,"⏳ Đạt "&amp;O19&amp;"/4","❌ Chưa nộp"))</f>
        <v/>
      </c>
    </row>
    <row r="20">
      <c r="A20" s="9" t="n">
        <v>16</v>
      </c>
      <c r="B20" s="9" t="inlineStr">
        <is>
          <t>Tuần 1</t>
        </is>
      </c>
      <c r="C20" s="9" t="inlineStr">
        <is>
          <t>Thứ 4</t>
        </is>
      </c>
      <c r="D20" s="9" t="inlineStr">
        <is>
          <t>09/09/2026</t>
        </is>
      </c>
      <c r="E20" s="9" t="inlineStr">
        <is>
          <t>Ngày 02</t>
        </is>
      </c>
      <c r="F20" s="10" t="inlineStr">
        <is>
          <t>Thảo Collins Edu</t>
        </is>
      </c>
      <c r="G20" s="19" t="inlineStr"/>
      <c r="H20" s="19" t="inlineStr"/>
      <c r="I20" s="19" t="inlineStr"/>
      <c r="J20" s="19" t="inlineStr"/>
      <c r="K20" s="19" t="inlineStr"/>
      <c r="L20" s="19" t="inlineStr"/>
      <c r="M20" s="19" t="inlineStr"/>
      <c r="N20" s="19" t="inlineStr"/>
      <c r="O20" s="11">
        <f>IF(OR(G20&lt;&gt;"",H20&lt;&gt;""),1,0) + IF(OR(I20&lt;&gt;"",J20&lt;&gt;""),1,0) + IF(OR(K20&lt;&gt;"",L20&lt;&gt;""),1,0) + IF(OR(M20&lt;&gt;"",N20&lt;&gt;""),1,0)</f>
        <v/>
      </c>
      <c r="P20" s="9">
        <f>IF(O20=4,"✅ Đủ 4 nhiệm vụ",IF(O20&gt;0,"⏳ Đạt "&amp;O20&amp;"/4","❌ Chưa nộp"))</f>
        <v/>
      </c>
    </row>
    <row r="21">
      <c r="A21" s="9" t="n">
        <v>17</v>
      </c>
      <c r="B21" s="9" t="inlineStr">
        <is>
          <t>Tuần 1</t>
        </is>
      </c>
      <c r="C21" s="9" t="inlineStr">
        <is>
          <t>Thứ 4</t>
        </is>
      </c>
      <c r="D21" s="9" t="inlineStr">
        <is>
          <t>09/09/2026</t>
        </is>
      </c>
      <c r="E21" s="9" t="inlineStr">
        <is>
          <t>Ngày 02</t>
        </is>
      </c>
      <c r="F21" s="10" t="inlineStr">
        <is>
          <t>Trần Quế Lam</t>
        </is>
      </c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1">
        <f>IF(OR(G21&lt;&gt;"",H21&lt;&gt;""),1,0) + IF(OR(I21&lt;&gt;"",J21&lt;&gt;""),1,0) + IF(OR(K21&lt;&gt;"",L21&lt;&gt;""),1,0) + IF(OR(M21&lt;&gt;"",N21&lt;&gt;""),1,0)</f>
        <v/>
      </c>
      <c r="P21" s="9">
        <f>IF(O21=4,"✅ Đủ 4 nhiệm vụ",IF(O21&gt;0,"⏳ Đạt "&amp;O21&amp;"/4","❌ Chưa nộp"))</f>
        <v/>
      </c>
    </row>
    <row r="22">
      <c r="A22" s="9" t="n">
        <v>18</v>
      </c>
      <c r="B22" s="9" t="inlineStr">
        <is>
          <t>Tuần 1</t>
        </is>
      </c>
      <c r="C22" s="9" t="inlineStr">
        <is>
          <t>Thứ 4</t>
        </is>
      </c>
      <c r="D22" s="9" t="inlineStr">
        <is>
          <t>09/09/2026</t>
        </is>
      </c>
      <c r="E22" s="9" t="inlineStr">
        <is>
          <t>Ngày 02</t>
        </is>
      </c>
      <c r="F22" s="10" t="inlineStr">
        <is>
          <t>Phạm Huyền</t>
        </is>
      </c>
      <c r="G22" s="1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1">
        <f>IF(OR(G22&lt;&gt;"",H22&lt;&gt;""),1,0) + IF(OR(I22&lt;&gt;"",J22&lt;&gt;""),1,0) + IF(OR(K22&lt;&gt;"",L22&lt;&gt;""),1,0) + IF(OR(M22&lt;&gt;"",N22&lt;&gt;""),1,0)</f>
        <v/>
      </c>
      <c r="P22" s="9">
        <f>IF(O22=4,"✅ Đủ 4 nhiệm vụ",IF(O22&gt;0,"⏳ Đạt "&amp;O22&amp;"/4","❌ Chưa nộp"))</f>
        <v/>
      </c>
    </row>
    <row r="23">
      <c r="A23" s="5" t="n">
        <v>19</v>
      </c>
      <c r="B23" s="5" t="inlineStr">
        <is>
          <t>Tuần 1</t>
        </is>
      </c>
      <c r="C23" s="5" t="inlineStr">
        <is>
          <t>Thứ 5</t>
        </is>
      </c>
      <c r="D23" s="5" t="inlineStr">
        <is>
          <t>10/09/2026</t>
        </is>
      </c>
      <c r="E23" s="5" t="inlineStr">
        <is>
          <t>Ngày 03</t>
        </is>
      </c>
      <c r="F23" s="6" t="inlineStr">
        <is>
          <t>Nancy</t>
        </is>
      </c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  <c r="O23" s="7">
        <f>IF(OR(G23&lt;&gt;"",H23&lt;&gt;""),1,0) + IF(OR(I23&lt;&gt;"",J23&lt;&gt;""),1,0) + IF(OR(K23&lt;&gt;"",L23&lt;&gt;""),1,0) + IF(OR(M23&lt;&gt;"",N23&lt;&gt;""),1,0)</f>
        <v/>
      </c>
      <c r="P23" s="5">
        <f>IF(O23=4,"✅ Đủ 4 nhiệm vụ",IF(O23&gt;0,"⏳ Đạt "&amp;O23&amp;"/4","❌ Chưa nộp"))</f>
        <v/>
      </c>
    </row>
    <row r="24">
      <c r="A24" s="5" t="n">
        <v>20</v>
      </c>
      <c r="B24" s="5" t="inlineStr">
        <is>
          <t>Tuần 1</t>
        </is>
      </c>
      <c r="C24" s="5" t="inlineStr">
        <is>
          <t>Thứ 5</t>
        </is>
      </c>
      <c r="D24" s="5" t="inlineStr">
        <is>
          <t>10/09/2026</t>
        </is>
      </c>
      <c r="E24" s="5" t="inlineStr">
        <is>
          <t>Ngày 03</t>
        </is>
      </c>
      <c r="F24" s="6" t="inlineStr">
        <is>
          <t>Hoài Học Mãi</t>
        </is>
      </c>
      <c r="G24" s="18" t="inlineStr"/>
      <c r="H24" s="18" t="inlineStr"/>
      <c r="I24" s="18" t="inlineStr"/>
      <c r="J24" s="18" t="inlineStr"/>
      <c r="K24" s="18" t="inlineStr"/>
      <c r="L24" s="18" t="inlineStr"/>
      <c r="M24" s="18" t="inlineStr"/>
      <c r="N24" s="18" t="inlineStr"/>
      <c r="O24" s="7">
        <f>IF(OR(G24&lt;&gt;"",H24&lt;&gt;""),1,0) + IF(OR(I24&lt;&gt;"",J24&lt;&gt;""),1,0) + IF(OR(K24&lt;&gt;"",L24&lt;&gt;""),1,0) + IF(OR(M24&lt;&gt;"",N24&lt;&gt;""),1,0)</f>
        <v/>
      </c>
      <c r="P24" s="5">
        <f>IF(O24=4,"✅ Đủ 4 nhiệm vụ",IF(O24&gt;0,"⏳ Đạt "&amp;O24&amp;"/4","❌ Chưa nộp"))</f>
        <v/>
      </c>
    </row>
    <row r="25">
      <c r="A25" s="5" t="n">
        <v>21</v>
      </c>
      <c r="B25" s="5" t="inlineStr">
        <is>
          <t>Tuần 1</t>
        </is>
      </c>
      <c r="C25" s="5" t="inlineStr">
        <is>
          <t>Thứ 5</t>
        </is>
      </c>
      <c r="D25" s="5" t="inlineStr">
        <is>
          <t>10/09/2026</t>
        </is>
      </c>
      <c r="E25" s="5" t="inlineStr">
        <is>
          <t>Ngày 03</t>
        </is>
      </c>
      <c r="F25" s="6" t="inlineStr">
        <is>
          <t>Lambee</t>
        </is>
      </c>
      <c r="G25" s="18" t="inlineStr"/>
      <c r="H25" s="18" t="inlineStr"/>
      <c r="I25" s="18" t="inlineStr"/>
      <c r="J25" s="18" t="inlineStr"/>
      <c r="K25" s="18" t="inlineStr"/>
      <c r="L25" s="18" t="inlineStr"/>
      <c r="M25" s="18" t="inlineStr"/>
      <c r="N25" s="18" t="inlineStr"/>
      <c r="O25" s="7">
        <f>IF(OR(G25&lt;&gt;"",H25&lt;&gt;""),1,0) + IF(OR(I25&lt;&gt;"",J25&lt;&gt;""),1,0) + IF(OR(K25&lt;&gt;"",L25&lt;&gt;""),1,0) + IF(OR(M25&lt;&gt;"",N25&lt;&gt;""),1,0)</f>
        <v/>
      </c>
      <c r="P25" s="5">
        <f>IF(O25=4,"✅ Đủ 4 nhiệm vụ",IF(O25&gt;0,"⏳ Đạt "&amp;O25&amp;"/4","❌ Chưa nộp"))</f>
        <v/>
      </c>
    </row>
    <row r="26">
      <c r="A26" s="5" t="n">
        <v>22</v>
      </c>
      <c r="B26" s="5" t="inlineStr">
        <is>
          <t>Tuần 1</t>
        </is>
      </c>
      <c r="C26" s="5" t="inlineStr">
        <is>
          <t>Thứ 5</t>
        </is>
      </c>
      <c r="D26" s="5" t="inlineStr">
        <is>
          <t>10/09/2026</t>
        </is>
      </c>
      <c r="E26" s="5" t="inlineStr">
        <is>
          <t>Ngày 03</t>
        </is>
      </c>
      <c r="F26" s="6" t="inlineStr">
        <is>
          <t>Nhung Hoàng</t>
        </is>
      </c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7">
        <f>IF(OR(G26&lt;&gt;"",H26&lt;&gt;""),1,0) + IF(OR(I26&lt;&gt;"",J26&lt;&gt;""),1,0) + IF(OR(K26&lt;&gt;"",L26&lt;&gt;""),1,0) + IF(OR(M26&lt;&gt;"",N26&lt;&gt;""),1,0)</f>
        <v/>
      </c>
      <c r="P26" s="5">
        <f>IF(O26=4,"✅ Đủ 4 nhiệm vụ",IF(O26&gt;0,"⏳ Đạt "&amp;O26&amp;"/4","❌ Chưa nộp"))</f>
        <v/>
      </c>
    </row>
    <row r="27">
      <c r="A27" s="5" t="n">
        <v>23</v>
      </c>
      <c r="B27" s="5" t="inlineStr">
        <is>
          <t>Tuần 1</t>
        </is>
      </c>
      <c r="C27" s="5" t="inlineStr">
        <is>
          <t>Thứ 5</t>
        </is>
      </c>
      <c r="D27" s="5" t="inlineStr">
        <is>
          <t>10/09/2026</t>
        </is>
      </c>
      <c r="E27" s="5" t="inlineStr">
        <is>
          <t>Ngày 03</t>
        </is>
      </c>
      <c r="F27" s="6" t="inlineStr">
        <is>
          <t>Quỳnh Thu</t>
        </is>
      </c>
      <c r="G27" s="18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  <c r="O27" s="7">
        <f>IF(OR(G27&lt;&gt;"",H27&lt;&gt;""),1,0) + IF(OR(I27&lt;&gt;"",J27&lt;&gt;""),1,0) + IF(OR(K27&lt;&gt;"",L27&lt;&gt;""),1,0) + IF(OR(M27&lt;&gt;"",N27&lt;&gt;""),1,0)</f>
        <v/>
      </c>
      <c r="P27" s="5">
        <f>IF(O27=4,"✅ Đủ 4 nhiệm vụ",IF(O27&gt;0,"⏳ Đạt "&amp;O27&amp;"/4","❌ Chưa nộp"))</f>
        <v/>
      </c>
    </row>
    <row r="28">
      <c r="A28" s="5" t="n">
        <v>24</v>
      </c>
      <c r="B28" s="5" t="inlineStr">
        <is>
          <t>Tuần 1</t>
        </is>
      </c>
      <c r="C28" s="5" t="inlineStr">
        <is>
          <t>Thứ 5</t>
        </is>
      </c>
      <c r="D28" s="5" t="inlineStr">
        <is>
          <t>10/09/2026</t>
        </is>
      </c>
      <c r="E28" s="5" t="inlineStr">
        <is>
          <t>Ngày 03</t>
        </is>
      </c>
      <c r="F28" s="6" t="inlineStr">
        <is>
          <t>TanAnh Pham</t>
        </is>
      </c>
      <c r="G28" s="18" t="inlineStr"/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  <c r="O28" s="7">
        <f>IF(OR(G28&lt;&gt;"",H28&lt;&gt;""),1,0) + IF(OR(I28&lt;&gt;"",J28&lt;&gt;""),1,0) + IF(OR(K28&lt;&gt;"",L28&lt;&gt;""),1,0) + IF(OR(M28&lt;&gt;"",N28&lt;&gt;""),1,0)</f>
        <v/>
      </c>
      <c r="P28" s="5">
        <f>IF(O28=4,"✅ Đủ 4 nhiệm vụ",IF(O28&gt;0,"⏳ Đạt "&amp;O28&amp;"/4","❌ Chưa nộp"))</f>
        <v/>
      </c>
    </row>
    <row r="29">
      <c r="A29" s="5" t="n">
        <v>25</v>
      </c>
      <c r="B29" s="5" t="inlineStr">
        <is>
          <t>Tuần 1</t>
        </is>
      </c>
      <c r="C29" s="5" t="inlineStr">
        <is>
          <t>Thứ 5</t>
        </is>
      </c>
      <c r="D29" s="5" t="inlineStr">
        <is>
          <t>10/09/2026</t>
        </is>
      </c>
      <c r="E29" s="5" t="inlineStr">
        <is>
          <t>Ngày 03</t>
        </is>
      </c>
      <c r="F29" s="6" t="inlineStr">
        <is>
          <t>Thảo Collins Edu</t>
        </is>
      </c>
      <c r="G29" s="18" t="inlineStr"/>
      <c r="H29" s="18" t="inlineStr"/>
      <c r="I29" s="18" t="inlineStr"/>
      <c r="J29" s="18" t="inlineStr"/>
      <c r="K29" s="18" t="inlineStr"/>
      <c r="L29" s="18" t="inlineStr"/>
      <c r="M29" s="18" t="inlineStr"/>
      <c r="N29" s="18" t="inlineStr"/>
      <c r="O29" s="7">
        <f>IF(OR(G29&lt;&gt;"",H29&lt;&gt;""),1,0) + IF(OR(I29&lt;&gt;"",J29&lt;&gt;""),1,0) + IF(OR(K29&lt;&gt;"",L29&lt;&gt;""),1,0) + IF(OR(M29&lt;&gt;"",N29&lt;&gt;""),1,0)</f>
        <v/>
      </c>
      <c r="P29" s="5">
        <f>IF(O29=4,"✅ Đủ 4 nhiệm vụ",IF(O29&gt;0,"⏳ Đạt "&amp;O29&amp;"/4","❌ Chưa nộp"))</f>
        <v/>
      </c>
    </row>
    <row r="30">
      <c r="A30" s="5" t="n">
        <v>26</v>
      </c>
      <c r="B30" s="5" t="inlineStr">
        <is>
          <t>Tuần 1</t>
        </is>
      </c>
      <c r="C30" s="5" t="inlineStr">
        <is>
          <t>Thứ 5</t>
        </is>
      </c>
      <c r="D30" s="5" t="inlineStr">
        <is>
          <t>10/09/2026</t>
        </is>
      </c>
      <c r="E30" s="5" t="inlineStr">
        <is>
          <t>Ngày 03</t>
        </is>
      </c>
      <c r="F30" s="6" t="inlineStr">
        <is>
          <t>Trần Quế Lam</t>
        </is>
      </c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7">
        <f>IF(OR(G30&lt;&gt;"",H30&lt;&gt;""),1,0) + IF(OR(I30&lt;&gt;"",J30&lt;&gt;""),1,0) + IF(OR(K30&lt;&gt;"",L30&lt;&gt;""),1,0) + IF(OR(M30&lt;&gt;"",N30&lt;&gt;""),1,0)</f>
        <v/>
      </c>
      <c r="P30" s="5">
        <f>IF(O30=4,"✅ Đủ 4 nhiệm vụ",IF(O30&gt;0,"⏳ Đạt "&amp;O30&amp;"/4","❌ Chưa nộp"))</f>
        <v/>
      </c>
    </row>
    <row r="31">
      <c r="A31" s="5" t="n">
        <v>27</v>
      </c>
      <c r="B31" s="5" t="inlineStr">
        <is>
          <t>Tuần 1</t>
        </is>
      </c>
      <c r="C31" s="5" t="inlineStr">
        <is>
          <t>Thứ 5</t>
        </is>
      </c>
      <c r="D31" s="5" t="inlineStr">
        <is>
          <t>10/09/2026</t>
        </is>
      </c>
      <c r="E31" s="5" t="inlineStr">
        <is>
          <t>Ngày 03</t>
        </is>
      </c>
      <c r="F31" s="6" t="inlineStr">
        <is>
          <t>Phạm Huyền</t>
        </is>
      </c>
      <c r="G31" s="18" t="inlineStr"/>
      <c r="H31" s="18" t="inlineStr"/>
      <c r="I31" s="18" t="inlineStr"/>
      <c r="J31" s="18" t="inlineStr"/>
      <c r="K31" s="18" t="inlineStr"/>
      <c r="L31" s="18" t="inlineStr"/>
      <c r="M31" s="18" t="inlineStr"/>
      <c r="N31" s="18" t="inlineStr"/>
      <c r="O31" s="7">
        <f>IF(OR(G31&lt;&gt;"",H31&lt;&gt;""),1,0) + IF(OR(I31&lt;&gt;"",J31&lt;&gt;""),1,0) + IF(OR(K31&lt;&gt;"",L31&lt;&gt;""),1,0) + IF(OR(M31&lt;&gt;"",N31&lt;&gt;""),1,0)</f>
        <v/>
      </c>
      <c r="P31" s="5">
        <f>IF(O31=4,"✅ Đủ 4 nhiệm vụ",IF(O31&gt;0,"⏳ Đạt "&amp;O31&amp;"/4","❌ Chưa nộp"))</f>
        <v/>
      </c>
    </row>
    <row r="32">
      <c r="A32" s="9" t="n">
        <v>28</v>
      </c>
      <c r="B32" s="9" t="inlineStr">
        <is>
          <t>Tuần 1</t>
        </is>
      </c>
      <c r="C32" s="9" t="inlineStr">
        <is>
          <t>Thứ 6</t>
        </is>
      </c>
      <c r="D32" s="9" t="inlineStr">
        <is>
          <t>11/09/2026</t>
        </is>
      </c>
      <c r="E32" s="9" t="inlineStr">
        <is>
          <t>Ngày 04</t>
        </is>
      </c>
      <c r="F32" s="10" t="inlineStr">
        <is>
          <t>Nancy</t>
        </is>
      </c>
      <c r="G32" s="1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1">
        <f>IF(OR(G32&lt;&gt;"",H32&lt;&gt;""),1,0) + IF(OR(I32&lt;&gt;"",J32&lt;&gt;""),1,0) + IF(OR(K32&lt;&gt;"",L32&lt;&gt;""),1,0) + IF(OR(M32&lt;&gt;"",N32&lt;&gt;""),1,0)</f>
        <v/>
      </c>
      <c r="P32" s="9">
        <f>IF(O32=4,"✅ Đủ 4 nhiệm vụ",IF(O32&gt;0,"⏳ Đạt "&amp;O32&amp;"/4","❌ Chưa nộp"))</f>
        <v/>
      </c>
    </row>
    <row r="33">
      <c r="A33" s="9" t="n">
        <v>29</v>
      </c>
      <c r="B33" s="9" t="inlineStr">
        <is>
          <t>Tuần 1</t>
        </is>
      </c>
      <c r="C33" s="9" t="inlineStr">
        <is>
          <t>Thứ 6</t>
        </is>
      </c>
      <c r="D33" s="9" t="inlineStr">
        <is>
          <t>11/09/2026</t>
        </is>
      </c>
      <c r="E33" s="9" t="inlineStr">
        <is>
          <t>Ngày 04</t>
        </is>
      </c>
      <c r="F33" s="10" t="inlineStr">
        <is>
          <t>Hoài Học Mãi</t>
        </is>
      </c>
      <c r="G33" s="1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1">
        <f>IF(OR(G33&lt;&gt;"",H33&lt;&gt;""),1,0) + IF(OR(I33&lt;&gt;"",J33&lt;&gt;""),1,0) + IF(OR(K33&lt;&gt;"",L33&lt;&gt;""),1,0) + IF(OR(M33&lt;&gt;"",N33&lt;&gt;""),1,0)</f>
        <v/>
      </c>
      <c r="P33" s="9">
        <f>IF(O33=4,"✅ Đủ 4 nhiệm vụ",IF(O33&gt;0,"⏳ Đạt "&amp;O33&amp;"/4","❌ Chưa nộp"))</f>
        <v/>
      </c>
    </row>
    <row r="34">
      <c r="A34" s="9" t="n">
        <v>30</v>
      </c>
      <c r="B34" s="9" t="inlineStr">
        <is>
          <t>Tuần 1</t>
        </is>
      </c>
      <c r="C34" s="9" t="inlineStr">
        <is>
          <t>Thứ 6</t>
        </is>
      </c>
      <c r="D34" s="9" t="inlineStr">
        <is>
          <t>11/09/2026</t>
        </is>
      </c>
      <c r="E34" s="9" t="inlineStr">
        <is>
          <t>Ngày 04</t>
        </is>
      </c>
      <c r="F34" s="10" t="inlineStr">
        <is>
          <t>Lambee</t>
        </is>
      </c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1">
        <f>IF(OR(G34&lt;&gt;"",H34&lt;&gt;""),1,0) + IF(OR(I34&lt;&gt;"",J34&lt;&gt;""),1,0) + IF(OR(K34&lt;&gt;"",L34&lt;&gt;""),1,0) + IF(OR(M34&lt;&gt;"",N34&lt;&gt;""),1,0)</f>
        <v/>
      </c>
      <c r="P34" s="9">
        <f>IF(O34=4,"✅ Đủ 4 nhiệm vụ",IF(O34&gt;0,"⏳ Đạt "&amp;O34&amp;"/4","❌ Chưa nộp"))</f>
        <v/>
      </c>
    </row>
    <row r="35">
      <c r="A35" s="9" t="n">
        <v>31</v>
      </c>
      <c r="B35" s="9" t="inlineStr">
        <is>
          <t>Tuần 1</t>
        </is>
      </c>
      <c r="C35" s="9" t="inlineStr">
        <is>
          <t>Thứ 6</t>
        </is>
      </c>
      <c r="D35" s="9" t="inlineStr">
        <is>
          <t>11/09/2026</t>
        </is>
      </c>
      <c r="E35" s="9" t="inlineStr">
        <is>
          <t>Ngày 04</t>
        </is>
      </c>
      <c r="F35" s="10" t="inlineStr">
        <is>
          <t>Nhung Hoàng</t>
        </is>
      </c>
      <c r="G35" s="1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1">
        <f>IF(OR(G35&lt;&gt;"",H35&lt;&gt;""),1,0) + IF(OR(I35&lt;&gt;"",J35&lt;&gt;""),1,0) + IF(OR(K35&lt;&gt;"",L35&lt;&gt;""),1,0) + IF(OR(M35&lt;&gt;"",N35&lt;&gt;""),1,0)</f>
        <v/>
      </c>
      <c r="P35" s="9">
        <f>IF(O35=4,"✅ Đủ 4 nhiệm vụ",IF(O35&gt;0,"⏳ Đạt "&amp;O35&amp;"/4","❌ Chưa nộp"))</f>
        <v/>
      </c>
    </row>
    <row r="36">
      <c r="A36" s="9" t="n">
        <v>32</v>
      </c>
      <c r="B36" s="9" t="inlineStr">
        <is>
          <t>Tuần 1</t>
        </is>
      </c>
      <c r="C36" s="9" t="inlineStr">
        <is>
          <t>Thứ 6</t>
        </is>
      </c>
      <c r="D36" s="9" t="inlineStr">
        <is>
          <t>11/09/2026</t>
        </is>
      </c>
      <c r="E36" s="9" t="inlineStr">
        <is>
          <t>Ngày 04</t>
        </is>
      </c>
      <c r="F36" s="10" t="inlineStr">
        <is>
          <t>Quỳnh Thu</t>
        </is>
      </c>
      <c r="G36" s="1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1">
        <f>IF(OR(G36&lt;&gt;"",H36&lt;&gt;""),1,0) + IF(OR(I36&lt;&gt;"",J36&lt;&gt;""),1,0) + IF(OR(K36&lt;&gt;"",L36&lt;&gt;""),1,0) + IF(OR(M36&lt;&gt;"",N36&lt;&gt;""),1,0)</f>
        <v/>
      </c>
      <c r="P36" s="9">
        <f>IF(O36=4,"✅ Đủ 4 nhiệm vụ",IF(O36&gt;0,"⏳ Đạt "&amp;O36&amp;"/4","❌ Chưa nộp"))</f>
        <v/>
      </c>
    </row>
    <row r="37">
      <c r="A37" s="9" t="n">
        <v>33</v>
      </c>
      <c r="B37" s="9" t="inlineStr">
        <is>
          <t>Tuần 1</t>
        </is>
      </c>
      <c r="C37" s="9" t="inlineStr">
        <is>
          <t>Thứ 6</t>
        </is>
      </c>
      <c r="D37" s="9" t="inlineStr">
        <is>
          <t>11/09/2026</t>
        </is>
      </c>
      <c r="E37" s="9" t="inlineStr">
        <is>
          <t>Ngày 04</t>
        </is>
      </c>
      <c r="F37" s="10" t="inlineStr">
        <is>
          <t>TanAnh Pham</t>
        </is>
      </c>
      <c r="G37" s="19" t="inlineStr"/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  <c r="O37" s="11">
        <f>IF(OR(G37&lt;&gt;"",H37&lt;&gt;""),1,0) + IF(OR(I37&lt;&gt;"",J37&lt;&gt;""),1,0) + IF(OR(K37&lt;&gt;"",L37&lt;&gt;""),1,0) + IF(OR(M37&lt;&gt;"",N37&lt;&gt;""),1,0)</f>
        <v/>
      </c>
      <c r="P37" s="9">
        <f>IF(O37=4,"✅ Đủ 4 nhiệm vụ",IF(O37&gt;0,"⏳ Đạt "&amp;O37&amp;"/4","❌ Chưa nộp"))</f>
        <v/>
      </c>
    </row>
    <row r="38">
      <c r="A38" s="9" t="n">
        <v>34</v>
      </c>
      <c r="B38" s="9" t="inlineStr">
        <is>
          <t>Tuần 1</t>
        </is>
      </c>
      <c r="C38" s="9" t="inlineStr">
        <is>
          <t>Thứ 6</t>
        </is>
      </c>
      <c r="D38" s="9" t="inlineStr">
        <is>
          <t>11/09/2026</t>
        </is>
      </c>
      <c r="E38" s="9" t="inlineStr">
        <is>
          <t>Ngày 04</t>
        </is>
      </c>
      <c r="F38" s="10" t="inlineStr">
        <is>
          <t>Thảo Collins Edu</t>
        </is>
      </c>
      <c r="G38" s="1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1">
        <f>IF(OR(G38&lt;&gt;"",H38&lt;&gt;""),1,0) + IF(OR(I38&lt;&gt;"",J38&lt;&gt;""),1,0) + IF(OR(K38&lt;&gt;"",L38&lt;&gt;""),1,0) + IF(OR(M38&lt;&gt;"",N38&lt;&gt;""),1,0)</f>
        <v/>
      </c>
      <c r="P38" s="9">
        <f>IF(O38=4,"✅ Đủ 4 nhiệm vụ",IF(O38&gt;0,"⏳ Đạt "&amp;O38&amp;"/4","❌ Chưa nộp"))</f>
        <v/>
      </c>
    </row>
    <row r="39">
      <c r="A39" s="9" t="n">
        <v>35</v>
      </c>
      <c r="B39" s="9" t="inlineStr">
        <is>
          <t>Tuần 1</t>
        </is>
      </c>
      <c r="C39" s="9" t="inlineStr">
        <is>
          <t>Thứ 6</t>
        </is>
      </c>
      <c r="D39" s="9" t="inlineStr">
        <is>
          <t>11/09/2026</t>
        </is>
      </c>
      <c r="E39" s="9" t="inlineStr">
        <is>
          <t>Ngày 04</t>
        </is>
      </c>
      <c r="F39" s="10" t="inlineStr">
        <is>
          <t>Trần Quế Lam</t>
        </is>
      </c>
      <c r="G39" s="19" t="inlineStr"/>
      <c r="H39" s="19" t="inlineStr"/>
      <c r="I39" s="19" t="inlineStr"/>
      <c r="J39" s="19" t="inlineStr"/>
      <c r="K39" s="19" t="inlineStr"/>
      <c r="L39" s="19" t="inlineStr"/>
      <c r="M39" s="19" t="inlineStr"/>
      <c r="N39" s="19" t="inlineStr"/>
      <c r="O39" s="11">
        <f>IF(OR(G39&lt;&gt;"",H39&lt;&gt;""),1,0) + IF(OR(I39&lt;&gt;"",J39&lt;&gt;""),1,0) + IF(OR(K39&lt;&gt;"",L39&lt;&gt;""),1,0) + IF(OR(M39&lt;&gt;"",N39&lt;&gt;""),1,0)</f>
        <v/>
      </c>
      <c r="P39" s="9">
        <f>IF(O39=4,"✅ Đủ 4 nhiệm vụ",IF(O39&gt;0,"⏳ Đạt "&amp;O39&amp;"/4","❌ Chưa nộp"))</f>
        <v/>
      </c>
    </row>
    <row r="40">
      <c r="A40" s="9" t="n">
        <v>36</v>
      </c>
      <c r="B40" s="9" t="inlineStr">
        <is>
          <t>Tuần 1</t>
        </is>
      </c>
      <c r="C40" s="9" t="inlineStr">
        <is>
          <t>Thứ 6</t>
        </is>
      </c>
      <c r="D40" s="9" t="inlineStr">
        <is>
          <t>11/09/2026</t>
        </is>
      </c>
      <c r="E40" s="9" t="inlineStr">
        <is>
          <t>Ngày 04</t>
        </is>
      </c>
      <c r="F40" s="10" t="inlineStr">
        <is>
          <t>Phạm Huyền</t>
        </is>
      </c>
      <c r="G40" s="1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1">
        <f>IF(OR(G40&lt;&gt;"",H40&lt;&gt;""),1,0) + IF(OR(I40&lt;&gt;"",J40&lt;&gt;""),1,0) + IF(OR(K40&lt;&gt;"",L40&lt;&gt;""),1,0) + IF(OR(M40&lt;&gt;"",N40&lt;&gt;""),1,0)</f>
        <v/>
      </c>
      <c r="P40" s="9">
        <f>IF(O40=4,"✅ Đủ 4 nhiệm vụ",IF(O40&gt;0,"⏳ Đạt "&amp;O40&amp;"/4","❌ Chưa nộp"))</f>
        <v/>
      </c>
    </row>
    <row r="41">
      <c r="A41" s="5" t="n">
        <v>37</v>
      </c>
      <c r="B41" s="5" t="inlineStr">
        <is>
          <t>Tuần 1</t>
        </is>
      </c>
      <c r="C41" s="5" t="inlineStr">
        <is>
          <t>Thứ 7</t>
        </is>
      </c>
      <c r="D41" s="5" t="inlineStr">
        <is>
          <t>12/09/2026</t>
        </is>
      </c>
      <c r="E41" s="5" t="inlineStr">
        <is>
          <t>Ngày 05</t>
        </is>
      </c>
      <c r="F41" s="6" t="inlineStr">
        <is>
          <t>Nancy</t>
        </is>
      </c>
      <c r="G41" s="18" t="inlineStr"/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7">
        <f>IF(OR(G41&lt;&gt;"",H41&lt;&gt;""),1,0) + IF(OR(I41&lt;&gt;"",J41&lt;&gt;""),1,0) + IF(OR(K41&lt;&gt;"",L41&lt;&gt;""),1,0) + IF(OR(M41&lt;&gt;"",N41&lt;&gt;""),1,0)</f>
        <v/>
      </c>
      <c r="P41" s="5">
        <f>IF(O41=4,"✅ Đủ 4 nhiệm vụ",IF(O41&gt;0,"⏳ Đạt "&amp;O41&amp;"/4","❌ Chưa nộp"))</f>
        <v/>
      </c>
    </row>
    <row r="42">
      <c r="A42" s="5" t="n">
        <v>38</v>
      </c>
      <c r="B42" s="5" t="inlineStr">
        <is>
          <t>Tuần 1</t>
        </is>
      </c>
      <c r="C42" s="5" t="inlineStr">
        <is>
          <t>Thứ 7</t>
        </is>
      </c>
      <c r="D42" s="5" t="inlineStr">
        <is>
          <t>12/09/2026</t>
        </is>
      </c>
      <c r="E42" s="5" t="inlineStr">
        <is>
          <t>Ngày 05</t>
        </is>
      </c>
      <c r="F42" s="6" t="inlineStr">
        <is>
          <t>Hoài Học Mãi</t>
        </is>
      </c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7">
        <f>IF(OR(G42&lt;&gt;"",H42&lt;&gt;""),1,0) + IF(OR(I42&lt;&gt;"",J42&lt;&gt;""),1,0) + IF(OR(K42&lt;&gt;"",L42&lt;&gt;""),1,0) + IF(OR(M42&lt;&gt;"",N42&lt;&gt;""),1,0)</f>
        <v/>
      </c>
      <c r="P42" s="5">
        <f>IF(O42=4,"✅ Đủ 4 nhiệm vụ",IF(O42&gt;0,"⏳ Đạt "&amp;O42&amp;"/4","❌ Chưa nộp"))</f>
        <v/>
      </c>
    </row>
    <row r="43">
      <c r="A43" s="5" t="n">
        <v>39</v>
      </c>
      <c r="B43" s="5" t="inlineStr">
        <is>
          <t>Tuần 1</t>
        </is>
      </c>
      <c r="C43" s="5" t="inlineStr">
        <is>
          <t>Thứ 7</t>
        </is>
      </c>
      <c r="D43" s="5" t="inlineStr">
        <is>
          <t>12/09/2026</t>
        </is>
      </c>
      <c r="E43" s="5" t="inlineStr">
        <is>
          <t>Ngày 05</t>
        </is>
      </c>
      <c r="F43" s="6" t="inlineStr">
        <is>
          <t>Lambee</t>
        </is>
      </c>
      <c r="G43" s="18" t="inlineStr"/>
      <c r="H43" s="18" t="inlineStr"/>
      <c r="I43" s="18" t="inlineStr"/>
      <c r="J43" s="18" t="inlineStr"/>
      <c r="K43" s="18" t="inlineStr"/>
      <c r="L43" s="18" t="inlineStr"/>
      <c r="M43" s="18" t="inlineStr"/>
      <c r="N43" s="18" t="inlineStr"/>
      <c r="O43" s="7">
        <f>IF(OR(G43&lt;&gt;"",H43&lt;&gt;""),1,0) + IF(OR(I43&lt;&gt;"",J43&lt;&gt;""),1,0) + IF(OR(K43&lt;&gt;"",L43&lt;&gt;""),1,0) + IF(OR(M43&lt;&gt;"",N43&lt;&gt;""),1,0)</f>
        <v/>
      </c>
      <c r="P43" s="5">
        <f>IF(O43=4,"✅ Đủ 4 nhiệm vụ",IF(O43&gt;0,"⏳ Đạt "&amp;O43&amp;"/4","❌ Chưa nộp"))</f>
        <v/>
      </c>
    </row>
    <row r="44">
      <c r="A44" s="5" t="n">
        <v>40</v>
      </c>
      <c r="B44" s="5" t="inlineStr">
        <is>
          <t>Tuần 1</t>
        </is>
      </c>
      <c r="C44" s="5" t="inlineStr">
        <is>
          <t>Thứ 7</t>
        </is>
      </c>
      <c r="D44" s="5" t="inlineStr">
        <is>
          <t>12/09/2026</t>
        </is>
      </c>
      <c r="E44" s="5" t="inlineStr">
        <is>
          <t>Ngày 05</t>
        </is>
      </c>
      <c r="F44" s="6" t="inlineStr">
        <is>
          <t>Nhung Hoàng</t>
        </is>
      </c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7">
        <f>IF(OR(G44&lt;&gt;"",H44&lt;&gt;""),1,0) + IF(OR(I44&lt;&gt;"",J44&lt;&gt;""),1,0) + IF(OR(K44&lt;&gt;"",L44&lt;&gt;""),1,0) + IF(OR(M44&lt;&gt;"",N44&lt;&gt;""),1,0)</f>
        <v/>
      </c>
      <c r="P44" s="5">
        <f>IF(O44=4,"✅ Đủ 4 nhiệm vụ",IF(O44&gt;0,"⏳ Đạt "&amp;O44&amp;"/4","❌ Chưa nộp"))</f>
        <v/>
      </c>
    </row>
    <row r="45">
      <c r="A45" s="5" t="n">
        <v>41</v>
      </c>
      <c r="B45" s="5" t="inlineStr">
        <is>
          <t>Tuần 1</t>
        </is>
      </c>
      <c r="C45" s="5" t="inlineStr">
        <is>
          <t>Thứ 7</t>
        </is>
      </c>
      <c r="D45" s="5" t="inlineStr">
        <is>
          <t>12/09/2026</t>
        </is>
      </c>
      <c r="E45" s="5" t="inlineStr">
        <is>
          <t>Ngày 05</t>
        </is>
      </c>
      <c r="F45" s="6" t="inlineStr">
        <is>
          <t>Quỳnh Thu</t>
        </is>
      </c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7">
        <f>IF(OR(G45&lt;&gt;"",H45&lt;&gt;""),1,0) + IF(OR(I45&lt;&gt;"",J45&lt;&gt;""),1,0) + IF(OR(K45&lt;&gt;"",L45&lt;&gt;""),1,0) + IF(OR(M45&lt;&gt;"",N45&lt;&gt;""),1,0)</f>
        <v/>
      </c>
      <c r="P45" s="5">
        <f>IF(O45=4,"✅ Đủ 4 nhiệm vụ",IF(O45&gt;0,"⏳ Đạt "&amp;O45&amp;"/4","❌ Chưa nộp"))</f>
        <v/>
      </c>
    </row>
    <row r="46">
      <c r="A46" s="5" t="n">
        <v>42</v>
      </c>
      <c r="B46" s="5" t="inlineStr">
        <is>
          <t>Tuần 1</t>
        </is>
      </c>
      <c r="C46" s="5" t="inlineStr">
        <is>
          <t>Thứ 7</t>
        </is>
      </c>
      <c r="D46" s="5" t="inlineStr">
        <is>
          <t>12/09/2026</t>
        </is>
      </c>
      <c r="E46" s="5" t="inlineStr">
        <is>
          <t>Ngày 05</t>
        </is>
      </c>
      <c r="F46" s="6" t="inlineStr">
        <is>
          <t>TanAnh Pham</t>
        </is>
      </c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7">
        <f>IF(OR(G46&lt;&gt;"",H46&lt;&gt;""),1,0) + IF(OR(I46&lt;&gt;"",J46&lt;&gt;""),1,0) + IF(OR(K46&lt;&gt;"",L46&lt;&gt;""),1,0) + IF(OR(M46&lt;&gt;"",N46&lt;&gt;""),1,0)</f>
        <v/>
      </c>
      <c r="P46" s="5">
        <f>IF(O46=4,"✅ Đủ 4 nhiệm vụ",IF(O46&gt;0,"⏳ Đạt "&amp;O46&amp;"/4","❌ Chưa nộp"))</f>
        <v/>
      </c>
    </row>
    <row r="47">
      <c r="A47" s="5" t="n">
        <v>43</v>
      </c>
      <c r="B47" s="5" t="inlineStr">
        <is>
          <t>Tuần 1</t>
        </is>
      </c>
      <c r="C47" s="5" t="inlineStr">
        <is>
          <t>Thứ 7</t>
        </is>
      </c>
      <c r="D47" s="5" t="inlineStr">
        <is>
          <t>12/09/2026</t>
        </is>
      </c>
      <c r="E47" s="5" t="inlineStr">
        <is>
          <t>Ngày 05</t>
        </is>
      </c>
      <c r="F47" s="6" t="inlineStr">
        <is>
          <t>Thảo Collins Edu</t>
        </is>
      </c>
      <c r="G47" s="18" t="inlineStr"/>
      <c r="H47" s="18" t="inlineStr"/>
      <c r="I47" s="18" t="inlineStr"/>
      <c r="J47" s="18" t="inlineStr"/>
      <c r="K47" s="18" t="inlineStr"/>
      <c r="L47" s="18" t="inlineStr"/>
      <c r="M47" s="18" t="inlineStr"/>
      <c r="N47" s="18" t="inlineStr"/>
      <c r="O47" s="7">
        <f>IF(OR(G47&lt;&gt;"",H47&lt;&gt;""),1,0) + IF(OR(I47&lt;&gt;"",J47&lt;&gt;""),1,0) + IF(OR(K47&lt;&gt;"",L47&lt;&gt;""),1,0) + IF(OR(M47&lt;&gt;"",N47&lt;&gt;""),1,0)</f>
        <v/>
      </c>
      <c r="P47" s="5">
        <f>IF(O47=4,"✅ Đủ 4 nhiệm vụ",IF(O47&gt;0,"⏳ Đạt "&amp;O47&amp;"/4","❌ Chưa nộp"))</f>
        <v/>
      </c>
    </row>
    <row r="48">
      <c r="A48" s="5" t="n">
        <v>44</v>
      </c>
      <c r="B48" s="5" t="inlineStr">
        <is>
          <t>Tuần 1</t>
        </is>
      </c>
      <c r="C48" s="5" t="inlineStr">
        <is>
          <t>Thứ 7</t>
        </is>
      </c>
      <c r="D48" s="5" t="inlineStr">
        <is>
          <t>12/09/2026</t>
        </is>
      </c>
      <c r="E48" s="5" t="inlineStr">
        <is>
          <t>Ngày 05</t>
        </is>
      </c>
      <c r="F48" s="6" t="inlineStr">
        <is>
          <t>Trần Quế Lam</t>
        </is>
      </c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7">
        <f>IF(OR(G48&lt;&gt;"",H48&lt;&gt;""),1,0) + IF(OR(I48&lt;&gt;"",J48&lt;&gt;""),1,0) + IF(OR(K48&lt;&gt;"",L48&lt;&gt;""),1,0) + IF(OR(M48&lt;&gt;"",N48&lt;&gt;""),1,0)</f>
        <v/>
      </c>
      <c r="P48" s="5">
        <f>IF(O48=4,"✅ Đủ 4 nhiệm vụ",IF(O48&gt;0,"⏳ Đạt "&amp;O48&amp;"/4","❌ Chưa nộp"))</f>
        <v/>
      </c>
    </row>
    <row r="49">
      <c r="A49" s="5" t="n">
        <v>45</v>
      </c>
      <c r="B49" s="5" t="inlineStr">
        <is>
          <t>Tuần 1</t>
        </is>
      </c>
      <c r="C49" s="5" t="inlineStr">
        <is>
          <t>Thứ 7</t>
        </is>
      </c>
      <c r="D49" s="5" t="inlineStr">
        <is>
          <t>12/09/2026</t>
        </is>
      </c>
      <c r="E49" s="5" t="inlineStr">
        <is>
          <t>Ngày 05</t>
        </is>
      </c>
      <c r="F49" s="6" t="inlineStr">
        <is>
          <t>Phạm Huyền</t>
        </is>
      </c>
      <c r="G49" s="18" t="inlineStr"/>
      <c r="H49" s="18" t="inlineStr"/>
      <c r="I49" s="18" t="inlineStr"/>
      <c r="J49" s="18" t="inlineStr"/>
      <c r="K49" s="18" t="inlineStr"/>
      <c r="L49" s="18" t="inlineStr"/>
      <c r="M49" s="18" t="inlineStr"/>
      <c r="N49" s="18" t="inlineStr"/>
      <c r="O49" s="7">
        <f>IF(OR(G49&lt;&gt;"",H49&lt;&gt;""),1,0) + IF(OR(I49&lt;&gt;"",J49&lt;&gt;""),1,0) + IF(OR(K49&lt;&gt;"",L49&lt;&gt;""),1,0) + IF(OR(M49&lt;&gt;"",N49&lt;&gt;""),1,0)</f>
        <v/>
      </c>
      <c r="P49" s="5">
        <f>IF(O49=4,"✅ Đủ 4 nhiệm vụ",IF(O49&gt;0,"⏳ Đạt "&amp;O49&amp;"/4","❌ Chưa nộp"))</f>
        <v/>
      </c>
    </row>
    <row r="50">
      <c r="A50" s="9" t="n">
        <v>46</v>
      </c>
      <c r="B50" s="9" t="inlineStr">
        <is>
          <t>Tuần 1</t>
        </is>
      </c>
      <c r="C50" s="9" t="inlineStr">
        <is>
          <t>Chủ Nhật</t>
        </is>
      </c>
      <c r="D50" s="9" t="inlineStr">
        <is>
          <t>13/09/2026</t>
        </is>
      </c>
      <c r="E50" s="9" t="inlineStr">
        <is>
          <t>Ngày 06</t>
        </is>
      </c>
      <c r="F50" s="10" t="inlineStr">
        <is>
          <t>Nancy</t>
        </is>
      </c>
      <c r="G50" s="19" t="inlineStr"/>
      <c r="H50" s="19" t="inlineStr"/>
      <c r="I50" s="19" t="inlineStr"/>
      <c r="J50" s="19" t="inlineStr"/>
      <c r="K50" s="19" t="inlineStr"/>
      <c r="L50" s="19" t="inlineStr"/>
      <c r="M50" s="19" t="inlineStr"/>
      <c r="N50" s="19" t="inlineStr"/>
      <c r="O50" s="11">
        <f>IF(OR(G50&lt;&gt;"",H50&lt;&gt;""),1,0) + IF(OR(I50&lt;&gt;"",J50&lt;&gt;""),1,0) + IF(OR(K50&lt;&gt;"",L50&lt;&gt;""),1,0) + IF(OR(M50&lt;&gt;"",N50&lt;&gt;""),1,0)</f>
        <v/>
      </c>
      <c r="P50" s="9">
        <f>IF(O50=4,"✅ Đủ 4 nhiệm vụ",IF(O50&gt;0,"⏳ Đạt "&amp;O50&amp;"/4","❌ Chưa nộp"))</f>
        <v/>
      </c>
    </row>
    <row r="51">
      <c r="A51" s="9" t="n">
        <v>47</v>
      </c>
      <c r="B51" s="9" t="inlineStr">
        <is>
          <t>Tuần 1</t>
        </is>
      </c>
      <c r="C51" s="9" t="inlineStr">
        <is>
          <t>Chủ Nhật</t>
        </is>
      </c>
      <c r="D51" s="9" t="inlineStr">
        <is>
          <t>13/09/2026</t>
        </is>
      </c>
      <c r="E51" s="9" t="inlineStr">
        <is>
          <t>Ngày 06</t>
        </is>
      </c>
      <c r="F51" s="10" t="inlineStr">
        <is>
          <t>Hoài Học Mãi</t>
        </is>
      </c>
      <c r="G51" s="19" t="inlineStr"/>
      <c r="H51" s="19" t="inlineStr"/>
      <c r="I51" s="19" t="inlineStr"/>
      <c r="J51" s="19" t="inlineStr"/>
      <c r="K51" s="19" t="inlineStr"/>
      <c r="L51" s="19" t="inlineStr"/>
      <c r="M51" s="19" t="inlineStr"/>
      <c r="N51" s="19" t="inlineStr"/>
      <c r="O51" s="11">
        <f>IF(OR(G51&lt;&gt;"",H51&lt;&gt;""),1,0) + IF(OR(I51&lt;&gt;"",J51&lt;&gt;""),1,0) + IF(OR(K51&lt;&gt;"",L51&lt;&gt;""),1,0) + IF(OR(M51&lt;&gt;"",N51&lt;&gt;""),1,0)</f>
        <v/>
      </c>
      <c r="P51" s="9">
        <f>IF(O51=4,"✅ Đủ 4 nhiệm vụ",IF(O51&gt;0,"⏳ Đạt "&amp;O51&amp;"/4","❌ Chưa nộp"))</f>
        <v/>
      </c>
    </row>
    <row r="52">
      <c r="A52" s="9" t="n">
        <v>48</v>
      </c>
      <c r="B52" s="9" t="inlineStr">
        <is>
          <t>Tuần 1</t>
        </is>
      </c>
      <c r="C52" s="9" t="inlineStr">
        <is>
          <t>Chủ Nhật</t>
        </is>
      </c>
      <c r="D52" s="9" t="inlineStr">
        <is>
          <t>13/09/2026</t>
        </is>
      </c>
      <c r="E52" s="9" t="inlineStr">
        <is>
          <t>Ngày 06</t>
        </is>
      </c>
      <c r="F52" s="10" t="inlineStr">
        <is>
          <t>Lambee</t>
        </is>
      </c>
      <c r="G52" s="19" t="inlineStr"/>
      <c r="H52" s="19" t="inlineStr"/>
      <c r="I52" s="19" t="inlineStr"/>
      <c r="J52" s="19" t="inlineStr"/>
      <c r="K52" s="19" t="inlineStr"/>
      <c r="L52" s="19" t="inlineStr"/>
      <c r="M52" s="19" t="inlineStr"/>
      <c r="N52" s="19" t="inlineStr"/>
      <c r="O52" s="11">
        <f>IF(OR(G52&lt;&gt;"",H52&lt;&gt;""),1,0) + IF(OR(I52&lt;&gt;"",J52&lt;&gt;""),1,0) + IF(OR(K52&lt;&gt;"",L52&lt;&gt;""),1,0) + IF(OR(M52&lt;&gt;"",N52&lt;&gt;""),1,0)</f>
        <v/>
      </c>
      <c r="P52" s="9">
        <f>IF(O52=4,"✅ Đủ 4 nhiệm vụ",IF(O52&gt;0,"⏳ Đạt "&amp;O52&amp;"/4","❌ Chưa nộp"))</f>
        <v/>
      </c>
    </row>
    <row r="53">
      <c r="A53" s="9" t="n">
        <v>49</v>
      </c>
      <c r="B53" s="9" t="inlineStr">
        <is>
          <t>Tuần 1</t>
        </is>
      </c>
      <c r="C53" s="9" t="inlineStr">
        <is>
          <t>Chủ Nhật</t>
        </is>
      </c>
      <c r="D53" s="9" t="inlineStr">
        <is>
          <t>13/09/2026</t>
        </is>
      </c>
      <c r="E53" s="9" t="inlineStr">
        <is>
          <t>Ngày 06</t>
        </is>
      </c>
      <c r="F53" s="10" t="inlineStr">
        <is>
          <t>Nhung Hoàng</t>
        </is>
      </c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  <c r="O53" s="11">
        <f>IF(OR(G53&lt;&gt;"",H53&lt;&gt;""),1,0) + IF(OR(I53&lt;&gt;"",J53&lt;&gt;""),1,0) + IF(OR(K53&lt;&gt;"",L53&lt;&gt;""),1,0) + IF(OR(M53&lt;&gt;"",N53&lt;&gt;""),1,0)</f>
        <v/>
      </c>
      <c r="P53" s="9">
        <f>IF(O53=4,"✅ Đủ 4 nhiệm vụ",IF(O53&gt;0,"⏳ Đạt "&amp;O53&amp;"/4","❌ Chưa nộp"))</f>
        <v/>
      </c>
    </row>
    <row r="54">
      <c r="A54" s="9" t="n">
        <v>50</v>
      </c>
      <c r="B54" s="9" t="inlineStr">
        <is>
          <t>Tuần 1</t>
        </is>
      </c>
      <c r="C54" s="9" t="inlineStr">
        <is>
          <t>Chủ Nhật</t>
        </is>
      </c>
      <c r="D54" s="9" t="inlineStr">
        <is>
          <t>13/09/2026</t>
        </is>
      </c>
      <c r="E54" s="9" t="inlineStr">
        <is>
          <t>Ngày 06</t>
        </is>
      </c>
      <c r="F54" s="10" t="inlineStr">
        <is>
          <t>Quỳnh Thu</t>
        </is>
      </c>
      <c r="G54" s="19" t="inlineStr"/>
      <c r="H54" s="19" t="inlineStr"/>
      <c r="I54" s="19" t="inlineStr"/>
      <c r="J54" s="19" t="inlineStr"/>
      <c r="K54" s="19" t="inlineStr"/>
      <c r="L54" s="19" t="inlineStr"/>
      <c r="M54" s="19" t="inlineStr"/>
      <c r="N54" s="19" t="inlineStr"/>
      <c r="O54" s="11">
        <f>IF(OR(G54&lt;&gt;"",H54&lt;&gt;""),1,0) + IF(OR(I54&lt;&gt;"",J54&lt;&gt;""),1,0) + IF(OR(K54&lt;&gt;"",L54&lt;&gt;""),1,0) + IF(OR(M54&lt;&gt;"",N54&lt;&gt;""),1,0)</f>
        <v/>
      </c>
      <c r="P54" s="9">
        <f>IF(O54=4,"✅ Đủ 4 nhiệm vụ",IF(O54&gt;0,"⏳ Đạt "&amp;O54&amp;"/4","❌ Chưa nộp"))</f>
        <v/>
      </c>
    </row>
    <row r="55">
      <c r="A55" s="9" t="n">
        <v>51</v>
      </c>
      <c r="B55" s="9" t="inlineStr">
        <is>
          <t>Tuần 1</t>
        </is>
      </c>
      <c r="C55" s="9" t="inlineStr">
        <is>
          <t>Chủ Nhật</t>
        </is>
      </c>
      <c r="D55" s="9" t="inlineStr">
        <is>
          <t>13/09/2026</t>
        </is>
      </c>
      <c r="E55" s="9" t="inlineStr">
        <is>
          <t>Ngày 06</t>
        </is>
      </c>
      <c r="F55" s="10" t="inlineStr">
        <is>
          <t>TanAnh Pham</t>
        </is>
      </c>
      <c r="G55" s="19" t="inlineStr"/>
      <c r="H55" s="19" t="inlineStr"/>
      <c r="I55" s="19" t="inlineStr"/>
      <c r="J55" s="19" t="inlineStr"/>
      <c r="K55" s="19" t="inlineStr"/>
      <c r="L55" s="19" t="inlineStr"/>
      <c r="M55" s="19" t="inlineStr"/>
      <c r="N55" s="19" t="inlineStr"/>
      <c r="O55" s="11">
        <f>IF(OR(G55&lt;&gt;"",H55&lt;&gt;""),1,0) + IF(OR(I55&lt;&gt;"",J55&lt;&gt;""),1,0) + IF(OR(K55&lt;&gt;"",L55&lt;&gt;""),1,0) + IF(OR(M55&lt;&gt;"",N55&lt;&gt;""),1,0)</f>
        <v/>
      </c>
      <c r="P55" s="9">
        <f>IF(O55=4,"✅ Đủ 4 nhiệm vụ",IF(O55&gt;0,"⏳ Đạt "&amp;O55&amp;"/4","❌ Chưa nộp"))</f>
        <v/>
      </c>
    </row>
    <row r="56">
      <c r="A56" s="9" t="n">
        <v>52</v>
      </c>
      <c r="B56" s="9" t="inlineStr">
        <is>
          <t>Tuần 1</t>
        </is>
      </c>
      <c r="C56" s="9" t="inlineStr">
        <is>
          <t>Chủ Nhật</t>
        </is>
      </c>
      <c r="D56" s="9" t="inlineStr">
        <is>
          <t>13/09/2026</t>
        </is>
      </c>
      <c r="E56" s="9" t="inlineStr">
        <is>
          <t>Ngày 06</t>
        </is>
      </c>
      <c r="F56" s="10" t="inlineStr">
        <is>
          <t>Thảo Collins Edu</t>
        </is>
      </c>
      <c r="G56" s="19" t="inlineStr"/>
      <c r="H56" s="19" t="inlineStr"/>
      <c r="I56" s="19" t="inlineStr"/>
      <c r="J56" s="19" t="inlineStr"/>
      <c r="K56" s="19" t="inlineStr"/>
      <c r="L56" s="19" t="inlineStr"/>
      <c r="M56" s="19" t="inlineStr"/>
      <c r="N56" s="19" t="inlineStr"/>
      <c r="O56" s="11">
        <f>IF(OR(G56&lt;&gt;"",H56&lt;&gt;""),1,0) + IF(OR(I56&lt;&gt;"",J56&lt;&gt;""),1,0) + IF(OR(K56&lt;&gt;"",L56&lt;&gt;""),1,0) + IF(OR(M56&lt;&gt;"",N56&lt;&gt;""),1,0)</f>
        <v/>
      </c>
      <c r="P56" s="9">
        <f>IF(O56=4,"✅ Đủ 4 nhiệm vụ",IF(O56&gt;0,"⏳ Đạt "&amp;O56&amp;"/4","❌ Chưa nộp"))</f>
        <v/>
      </c>
    </row>
    <row r="57">
      <c r="A57" s="9" t="n">
        <v>53</v>
      </c>
      <c r="B57" s="9" t="inlineStr">
        <is>
          <t>Tuần 1</t>
        </is>
      </c>
      <c r="C57" s="9" t="inlineStr">
        <is>
          <t>Chủ Nhật</t>
        </is>
      </c>
      <c r="D57" s="9" t="inlineStr">
        <is>
          <t>13/09/2026</t>
        </is>
      </c>
      <c r="E57" s="9" t="inlineStr">
        <is>
          <t>Ngày 06</t>
        </is>
      </c>
      <c r="F57" s="10" t="inlineStr">
        <is>
          <t>Trần Quế Lam</t>
        </is>
      </c>
      <c r="G57" s="19" t="inlineStr"/>
      <c r="H57" s="19" t="inlineStr"/>
      <c r="I57" s="19" t="inlineStr"/>
      <c r="J57" s="19" t="inlineStr"/>
      <c r="K57" s="19" t="inlineStr"/>
      <c r="L57" s="19" t="inlineStr"/>
      <c r="M57" s="19" t="inlineStr"/>
      <c r="N57" s="19" t="inlineStr"/>
      <c r="O57" s="11">
        <f>IF(OR(G57&lt;&gt;"",H57&lt;&gt;""),1,0) + IF(OR(I57&lt;&gt;"",J57&lt;&gt;""),1,0) + IF(OR(K57&lt;&gt;"",L57&lt;&gt;""),1,0) + IF(OR(M57&lt;&gt;"",N57&lt;&gt;""),1,0)</f>
        <v/>
      </c>
      <c r="P57" s="9">
        <f>IF(O57=4,"✅ Đủ 4 nhiệm vụ",IF(O57&gt;0,"⏳ Đạt "&amp;O57&amp;"/4","❌ Chưa nộp"))</f>
        <v/>
      </c>
    </row>
    <row r="58">
      <c r="A58" s="9" t="n">
        <v>54</v>
      </c>
      <c r="B58" s="9" t="inlineStr">
        <is>
          <t>Tuần 1</t>
        </is>
      </c>
      <c r="C58" s="9" t="inlineStr">
        <is>
          <t>Chủ Nhật</t>
        </is>
      </c>
      <c r="D58" s="9" t="inlineStr">
        <is>
          <t>13/09/2026</t>
        </is>
      </c>
      <c r="E58" s="9" t="inlineStr">
        <is>
          <t>Ngày 06</t>
        </is>
      </c>
      <c r="F58" s="10" t="inlineStr">
        <is>
          <t>Phạm Huyền</t>
        </is>
      </c>
      <c r="G58" s="19" t="inlineStr"/>
      <c r="H58" s="19" t="inlineStr"/>
      <c r="I58" s="19" t="inlineStr"/>
      <c r="J58" s="19" t="inlineStr"/>
      <c r="K58" s="19" t="inlineStr"/>
      <c r="L58" s="19" t="inlineStr"/>
      <c r="M58" s="19" t="inlineStr"/>
      <c r="N58" s="19" t="inlineStr"/>
      <c r="O58" s="11">
        <f>IF(OR(G58&lt;&gt;"",H58&lt;&gt;""),1,0) + IF(OR(I58&lt;&gt;"",J58&lt;&gt;""),1,0) + IF(OR(K58&lt;&gt;"",L58&lt;&gt;""),1,0) + IF(OR(M58&lt;&gt;"",N58&lt;&gt;""),1,0)</f>
        <v/>
      </c>
      <c r="P58" s="9">
        <f>IF(O58=4,"✅ Đủ 4 nhiệm vụ",IF(O58&gt;0,"⏳ Đạt "&amp;O58&amp;"/4","❌ Chưa nộp"))</f>
        <v/>
      </c>
    </row>
    <row r="59">
      <c r="A59" s="5" t="n">
        <v>55</v>
      </c>
      <c r="B59" s="5" t="inlineStr">
        <is>
          <t>Tuần 1</t>
        </is>
      </c>
      <c r="C59" s="5" t="inlineStr">
        <is>
          <t>Thứ 2</t>
        </is>
      </c>
      <c r="D59" s="5" t="inlineStr">
        <is>
          <t>14/09/2026</t>
        </is>
      </c>
      <c r="E59" s="5" t="inlineStr">
        <is>
          <t>Ngày 07</t>
        </is>
      </c>
      <c r="F59" s="6" t="inlineStr">
        <is>
          <t>Nancy</t>
        </is>
      </c>
      <c r="G59" s="18" t="inlineStr"/>
      <c r="H59" s="18" t="inlineStr"/>
      <c r="I59" s="18" t="inlineStr"/>
      <c r="J59" s="18" t="inlineStr"/>
      <c r="K59" s="18" t="inlineStr"/>
      <c r="L59" s="18" t="inlineStr"/>
      <c r="M59" s="18" t="inlineStr"/>
      <c r="N59" s="18" t="inlineStr"/>
      <c r="O59" s="7">
        <f>IF(OR(G59&lt;&gt;"",H59&lt;&gt;""),1,0) + IF(OR(I59&lt;&gt;"",J59&lt;&gt;""),1,0) + IF(OR(K59&lt;&gt;"",L59&lt;&gt;""),1,0) + IF(OR(M59&lt;&gt;"",N59&lt;&gt;""),1,0)</f>
        <v/>
      </c>
      <c r="P59" s="5">
        <f>IF(O59=4,"✅ Đủ 4 nhiệm vụ",IF(O59&gt;0,"⏳ Đạt "&amp;O59&amp;"/4","❌ Chưa nộp"))</f>
        <v/>
      </c>
    </row>
    <row r="60">
      <c r="A60" s="5" t="n">
        <v>56</v>
      </c>
      <c r="B60" s="5" t="inlineStr">
        <is>
          <t>Tuần 1</t>
        </is>
      </c>
      <c r="C60" s="5" t="inlineStr">
        <is>
          <t>Thứ 2</t>
        </is>
      </c>
      <c r="D60" s="5" t="inlineStr">
        <is>
          <t>14/09/2026</t>
        </is>
      </c>
      <c r="E60" s="5" t="inlineStr">
        <is>
          <t>Ngày 07</t>
        </is>
      </c>
      <c r="F60" s="6" t="inlineStr">
        <is>
          <t>Hoài Học Mãi</t>
        </is>
      </c>
      <c r="G60" s="18" t="inlineStr"/>
      <c r="H60" s="18" t="inlineStr"/>
      <c r="I60" s="18" t="inlineStr"/>
      <c r="J60" s="18" t="inlineStr"/>
      <c r="K60" s="18" t="inlineStr"/>
      <c r="L60" s="18" t="inlineStr"/>
      <c r="M60" s="18" t="inlineStr"/>
      <c r="N60" s="18" t="inlineStr"/>
      <c r="O60" s="7">
        <f>IF(OR(G60&lt;&gt;"",H60&lt;&gt;""),1,0) + IF(OR(I60&lt;&gt;"",J60&lt;&gt;""),1,0) + IF(OR(K60&lt;&gt;"",L60&lt;&gt;""),1,0) + IF(OR(M60&lt;&gt;"",N60&lt;&gt;""),1,0)</f>
        <v/>
      </c>
      <c r="P60" s="5">
        <f>IF(O60=4,"✅ Đủ 4 nhiệm vụ",IF(O60&gt;0,"⏳ Đạt "&amp;O60&amp;"/4","❌ Chưa nộp"))</f>
        <v/>
      </c>
    </row>
    <row r="61">
      <c r="A61" s="5" t="n">
        <v>57</v>
      </c>
      <c r="B61" s="5" t="inlineStr">
        <is>
          <t>Tuần 1</t>
        </is>
      </c>
      <c r="C61" s="5" t="inlineStr">
        <is>
          <t>Thứ 2</t>
        </is>
      </c>
      <c r="D61" s="5" t="inlineStr">
        <is>
          <t>14/09/2026</t>
        </is>
      </c>
      <c r="E61" s="5" t="inlineStr">
        <is>
          <t>Ngày 07</t>
        </is>
      </c>
      <c r="F61" s="6" t="inlineStr">
        <is>
          <t>Lambee</t>
        </is>
      </c>
      <c r="G61" s="18" t="inlineStr"/>
      <c r="H61" s="18" t="inlineStr"/>
      <c r="I61" s="18" t="inlineStr"/>
      <c r="J61" s="18" t="inlineStr"/>
      <c r="K61" s="18" t="inlineStr"/>
      <c r="L61" s="18" t="inlineStr"/>
      <c r="M61" s="18" t="inlineStr"/>
      <c r="N61" s="18" t="inlineStr"/>
      <c r="O61" s="7">
        <f>IF(OR(G61&lt;&gt;"",H61&lt;&gt;""),1,0) + IF(OR(I61&lt;&gt;"",J61&lt;&gt;""),1,0) + IF(OR(K61&lt;&gt;"",L61&lt;&gt;""),1,0) + IF(OR(M61&lt;&gt;"",N61&lt;&gt;""),1,0)</f>
        <v/>
      </c>
      <c r="P61" s="5">
        <f>IF(O61=4,"✅ Đủ 4 nhiệm vụ",IF(O61&gt;0,"⏳ Đạt "&amp;O61&amp;"/4","❌ Chưa nộp"))</f>
        <v/>
      </c>
    </row>
    <row r="62">
      <c r="A62" s="5" t="n">
        <v>58</v>
      </c>
      <c r="B62" s="5" t="inlineStr">
        <is>
          <t>Tuần 1</t>
        </is>
      </c>
      <c r="C62" s="5" t="inlineStr">
        <is>
          <t>Thứ 2</t>
        </is>
      </c>
      <c r="D62" s="5" t="inlineStr">
        <is>
          <t>14/09/2026</t>
        </is>
      </c>
      <c r="E62" s="5" t="inlineStr">
        <is>
          <t>Ngày 07</t>
        </is>
      </c>
      <c r="F62" s="6" t="inlineStr">
        <is>
          <t>Nhung Hoàng</t>
        </is>
      </c>
      <c r="G62" s="18" t="inlineStr"/>
      <c r="H62" s="18" t="inlineStr"/>
      <c r="I62" s="18" t="inlineStr"/>
      <c r="J62" s="18" t="inlineStr"/>
      <c r="K62" s="18" t="inlineStr"/>
      <c r="L62" s="18" t="inlineStr"/>
      <c r="M62" s="18" t="inlineStr"/>
      <c r="N62" s="18" t="inlineStr"/>
      <c r="O62" s="7">
        <f>IF(OR(G62&lt;&gt;"",H62&lt;&gt;""),1,0) + IF(OR(I62&lt;&gt;"",J62&lt;&gt;""),1,0) + IF(OR(K62&lt;&gt;"",L62&lt;&gt;""),1,0) + IF(OR(M62&lt;&gt;"",N62&lt;&gt;""),1,0)</f>
        <v/>
      </c>
      <c r="P62" s="5">
        <f>IF(O62=4,"✅ Đủ 4 nhiệm vụ",IF(O62&gt;0,"⏳ Đạt "&amp;O62&amp;"/4","❌ Chưa nộp"))</f>
        <v/>
      </c>
    </row>
    <row r="63">
      <c r="A63" s="5" t="n">
        <v>59</v>
      </c>
      <c r="B63" s="5" t="inlineStr">
        <is>
          <t>Tuần 1</t>
        </is>
      </c>
      <c r="C63" s="5" t="inlineStr">
        <is>
          <t>Thứ 2</t>
        </is>
      </c>
      <c r="D63" s="5" t="inlineStr">
        <is>
          <t>14/09/2026</t>
        </is>
      </c>
      <c r="E63" s="5" t="inlineStr">
        <is>
          <t>Ngày 07</t>
        </is>
      </c>
      <c r="F63" s="6" t="inlineStr">
        <is>
          <t>Quỳnh Thu</t>
        </is>
      </c>
      <c r="G63" s="18" t="inlineStr"/>
      <c r="H63" s="18" t="inlineStr"/>
      <c r="I63" s="18" t="inlineStr"/>
      <c r="J63" s="18" t="inlineStr"/>
      <c r="K63" s="18" t="inlineStr"/>
      <c r="L63" s="18" t="inlineStr"/>
      <c r="M63" s="18" t="inlineStr"/>
      <c r="N63" s="18" t="inlineStr"/>
      <c r="O63" s="7">
        <f>IF(OR(G63&lt;&gt;"",H63&lt;&gt;""),1,0) + IF(OR(I63&lt;&gt;"",J63&lt;&gt;""),1,0) + IF(OR(K63&lt;&gt;"",L63&lt;&gt;""),1,0) + IF(OR(M63&lt;&gt;"",N63&lt;&gt;""),1,0)</f>
        <v/>
      </c>
      <c r="P63" s="5">
        <f>IF(O63=4,"✅ Đủ 4 nhiệm vụ",IF(O63&gt;0,"⏳ Đạt "&amp;O63&amp;"/4","❌ Chưa nộp"))</f>
        <v/>
      </c>
    </row>
    <row r="64">
      <c r="A64" s="5" t="n">
        <v>60</v>
      </c>
      <c r="B64" s="5" t="inlineStr">
        <is>
          <t>Tuần 1</t>
        </is>
      </c>
      <c r="C64" s="5" t="inlineStr">
        <is>
          <t>Thứ 2</t>
        </is>
      </c>
      <c r="D64" s="5" t="inlineStr">
        <is>
          <t>14/09/2026</t>
        </is>
      </c>
      <c r="E64" s="5" t="inlineStr">
        <is>
          <t>Ngày 07</t>
        </is>
      </c>
      <c r="F64" s="6" t="inlineStr">
        <is>
          <t>TanAnh Pham</t>
        </is>
      </c>
      <c r="G64" s="18" t="inlineStr"/>
      <c r="H64" s="18" t="inlineStr"/>
      <c r="I64" s="18" t="inlineStr"/>
      <c r="J64" s="18" t="inlineStr"/>
      <c r="K64" s="18" t="inlineStr"/>
      <c r="L64" s="18" t="inlineStr"/>
      <c r="M64" s="18" t="inlineStr"/>
      <c r="N64" s="18" t="inlineStr"/>
      <c r="O64" s="7">
        <f>IF(OR(G64&lt;&gt;"",H64&lt;&gt;""),1,0) + IF(OR(I64&lt;&gt;"",J64&lt;&gt;""),1,0) + IF(OR(K64&lt;&gt;"",L64&lt;&gt;""),1,0) + IF(OR(M64&lt;&gt;"",N64&lt;&gt;""),1,0)</f>
        <v/>
      </c>
      <c r="P64" s="5">
        <f>IF(O64=4,"✅ Đủ 4 nhiệm vụ",IF(O64&gt;0,"⏳ Đạt "&amp;O64&amp;"/4","❌ Chưa nộp"))</f>
        <v/>
      </c>
    </row>
    <row r="65">
      <c r="A65" s="5" t="n">
        <v>61</v>
      </c>
      <c r="B65" s="5" t="inlineStr">
        <is>
          <t>Tuần 1</t>
        </is>
      </c>
      <c r="C65" s="5" t="inlineStr">
        <is>
          <t>Thứ 2</t>
        </is>
      </c>
      <c r="D65" s="5" t="inlineStr">
        <is>
          <t>14/09/2026</t>
        </is>
      </c>
      <c r="E65" s="5" t="inlineStr">
        <is>
          <t>Ngày 07</t>
        </is>
      </c>
      <c r="F65" s="6" t="inlineStr">
        <is>
          <t>Thảo Collins Edu</t>
        </is>
      </c>
      <c r="G65" s="18" t="inlineStr"/>
      <c r="H65" s="18" t="inlineStr"/>
      <c r="I65" s="18" t="inlineStr"/>
      <c r="J65" s="18" t="inlineStr"/>
      <c r="K65" s="18" t="inlineStr"/>
      <c r="L65" s="18" t="inlineStr"/>
      <c r="M65" s="18" t="inlineStr"/>
      <c r="N65" s="18" t="inlineStr"/>
      <c r="O65" s="7">
        <f>IF(OR(G65&lt;&gt;"",H65&lt;&gt;""),1,0) + IF(OR(I65&lt;&gt;"",J65&lt;&gt;""),1,0) + IF(OR(K65&lt;&gt;"",L65&lt;&gt;""),1,0) + IF(OR(M65&lt;&gt;"",N65&lt;&gt;""),1,0)</f>
        <v/>
      </c>
      <c r="P65" s="5">
        <f>IF(O65=4,"✅ Đủ 4 nhiệm vụ",IF(O65&gt;0,"⏳ Đạt "&amp;O65&amp;"/4","❌ Chưa nộp"))</f>
        <v/>
      </c>
    </row>
    <row r="66">
      <c r="A66" s="5" t="n">
        <v>62</v>
      </c>
      <c r="B66" s="5" t="inlineStr">
        <is>
          <t>Tuần 1</t>
        </is>
      </c>
      <c r="C66" s="5" t="inlineStr">
        <is>
          <t>Thứ 2</t>
        </is>
      </c>
      <c r="D66" s="5" t="inlineStr">
        <is>
          <t>14/09/2026</t>
        </is>
      </c>
      <c r="E66" s="5" t="inlineStr">
        <is>
          <t>Ngày 07</t>
        </is>
      </c>
      <c r="F66" s="6" t="inlineStr">
        <is>
          <t>Trần Quế Lam</t>
        </is>
      </c>
      <c r="G66" s="18" t="inlineStr"/>
      <c r="H66" s="18" t="inlineStr"/>
      <c r="I66" s="18" t="inlineStr"/>
      <c r="J66" s="18" t="inlineStr"/>
      <c r="K66" s="18" t="inlineStr"/>
      <c r="L66" s="18" t="inlineStr"/>
      <c r="M66" s="18" t="inlineStr"/>
      <c r="N66" s="18" t="inlineStr"/>
      <c r="O66" s="7">
        <f>IF(OR(G66&lt;&gt;"",H66&lt;&gt;""),1,0) + IF(OR(I66&lt;&gt;"",J66&lt;&gt;""),1,0) + IF(OR(K66&lt;&gt;"",L66&lt;&gt;""),1,0) + IF(OR(M66&lt;&gt;"",N66&lt;&gt;""),1,0)</f>
        <v/>
      </c>
      <c r="P66" s="5">
        <f>IF(O66=4,"✅ Đủ 4 nhiệm vụ",IF(O66&gt;0,"⏳ Đạt "&amp;O66&amp;"/4","❌ Chưa nộp"))</f>
        <v/>
      </c>
    </row>
    <row r="67">
      <c r="A67" s="5" t="n">
        <v>63</v>
      </c>
      <c r="B67" s="5" t="inlineStr">
        <is>
          <t>Tuần 1</t>
        </is>
      </c>
      <c r="C67" s="5" t="inlineStr">
        <is>
          <t>Thứ 2</t>
        </is>
      </c>
      <c r="D67" s="5" t="inlineStr">
        <is>
          <t>14/09/2026</t>
        </is>
      </c>
      <c r="E67" s="5" t="inlineStr">
        <is>
          <t>Ngày 07</t>
        </is>
      </c>
      <c r="F67" s="6" t="inlineStr">
        <is>
          <t>Phạm Huyền</t>
        </is>
      </c>
      <c r="G67" s="18" t="inlineStr"/>
      <c r="H67" s="18" t="inlineStr"/>
      <c r="I67" s="18" t="inlineStr"/>
      <c r="J67" s="18" t="inlineStr"/>
      <c r="K67" s="18" t="inlineStr"/>
      <c r="L67" s="18" t="inlineStr"/>
      <c r="M67" s="18" t="inlineStr"/>
      <c r="N67" s="18" t="inlineStr"/>
      <c r="O67" s="7">
        <f>IF(OR(G67&lt;&gt;"",H67&lt;&gt;""),1,0) + IF(OR(I67&lt;&gt;"",J67&lt;&gt;""),1,0) + IF(OR(K67&lt;&gt;"",L67&lt;&gt;""),1,0) + IF(OR(M67&lt;&gt;"",N67&lt;&gt;""),1,0)</f>
        <v/>
      </c>
      <c r="P67" s="5">
        <f>IF(O67=4,"✅ Đủ 4 nhiệm vụ",IF(O67&gt;0,"⏳ Đạt "&amp;O67&amp;"/4","❌ Chưa nộp"))</f>
        <v/>
      </c>
    </row>
    <row r="68">
      <c r="A68" s="9" t="n">
        <v>64</v>
      </c>
      <c r="B68" s="9" t="inlineStr">
        <is>
          <t>Tuần 2</t>
        </is>
      </c>
      <c r="C68" s="9" t="inlineStr">
        <is>
          <t>Thứ 3</t>
        </is>
      </c>
      <c r="D68" s="9" t="inlineStr">
        <is>
          <t>15/09/2026</t>
        </is>
      </c>
      <c r="E68" s="9" t="inlineStr">
        <is>
          <t>Ngày 08</t>
        </is>
      </c>
      <c r="F68" s="10" t="inlineStr">
        <is>
          <t>Nancy</t>
        </is>
      </c>
      <c r="G68" s="19" t="inlineStr"/>
      <c r="H68" s="19" t="inlineStr"/>
      <c r="I68" s="19" t="inlineStr"/>
      <c r="J68" s="19" t="inlineStr"/>
      <c r="K68" s="19" t="inlineStr"/>
      <c r="L68" s="19" t="inlineStr"/>
      <c r="M68" s="19" t="inlineStr"/>
      <c r="N68" s="19" t="inlineStr"/>
      <c r="O68" s="11">
        <f>IF(OR(G68&lt;&gt;"",H68&lt;&gt;""),1,0) + IF(OR(I68&lt;&gt;"",J68&lt;&gt;""),1,0) + IF(OR(K68&lt;&gt;"",L68&lt;&gt;""),1,0) + IF(OR(M68&lt;&gt;"",N68&lt;&gt;""),1,0)</f>
        <v/>
      </c>
      <c r="P68" s="9">
        <f>IF(O68=4,"✅ Đủ 4 nhiệm vụ",IF(O68&gt;0,"⏳ Đạt "&amp;O68&amp;"/4","❌ Chưa nộp"))</f>
        <v/>
      </c>
    </row>
    <row r="69">
      <c r="A69" s="9" t="n">
        <v>65</v>
      </c>
      <c r="B69" s="9" t="inlineStr">
        <is>
          <t>Tuần 2</t>
        </is>
      </c>
      <c r="C69" s="9" t="inlineStr">
        <is>
          <t>Thứ 3</t>
        </is>
      </c>
      <c r="D69" s="9" t="inlineStr">
        <is>
          <t>15/09/2026</t>
        </is>
      </c>
      <c r="E69" s="9" t="inlineStr">
        <is>
          <t>Ngày 08</t>
        </is>
      </c>
      <c r="F69" s="10" t="inlineStr">
        <is>
          <t>Hoài Học Mãi</t>
        </is>
      </c>
      <c r="G69" s="19" t="inlineStr"/>
      <c r="H69" s="19" t="inlineStr"/>
      <c r="I69" s="19" t="inlineStr"/>
      <c r="J69" s="19" t="inlineStr"/>
      <c r="K69" s="19" t="inlineStr"/>
      <c r="L69" s="19" t="inlineStr"/>
      <c r="M69" s="19" t="inlineStr"/>
      <c r="N69" s="19" t="inlineStr"/>
      <c r="O69" s="11">
        <f>IF(OR(G69&lt;&gt;"",H69&lt;&gt;""),1,0) + IF(OR(I69&lt;&gt;"",J69&lt;&gt;""),1,0) + IF(OR(K69&lt;&gt;"",L69&lt;&gt;""),1,0) + IF(OR(M69&lt;&gt;"",N69&lt;&gt;""),1,0)</f>
        <v/>
      </c>
      <c r="P69" s="9">
        <f>IF(O69=4,"✅ Đủ 4 nhiệm vụ",IF(O69&gt;0,"⏳ Đạt "&amp;O69&amp;"/4","❌ Chưa nộp"))</f>
        <v/>
      </c>
    </row>
    <row r="70">
      <c r="A70" s="9" t="n">
        <v>66</v>
      </c>
      <c r="B70" s="9" t="inlineStr">
        <is>
          <t>Tuần 2</t>
        </is>
      </c>
      <c r="C70" s="9" t="inlineStr">
        <is>
          <t>Thứ 3</t>
        </is>
      </c>
      <c r="D70" s="9" t="inlineStr">
        <is>
          <t>15/09/2026</t>
        </is>
      </c>
      <c r="E70" s="9" t="inlineStr">
        <is>
          <t>Ngày 08</t>
        </is>
      </c>
      <c r="F70" s="10" t="inlineStr">
        <is>
          <t>Lambee</t>
        </is>
      </c>
      <c r="G70" s="19" t="inlineStr"/>
      <c r="H70" s="19" t="inlineStr"/>
      <c r="I70" s="19" t="inlineStr"/>
      <c r="J70" s="19" t="inlineStr"/>
      <c r="K70" s="19" t="inlineStr"/>
      <c r="L70" s="19" t="inlineStr"/>
      <c r="M70" s="19" t="inlineStr"/>
      <c r="N70" s="19" t="inlineStr"/>
      <c r="O70" s="11">
        <f>IF(OR(G70&lt;&gt;"",H70&lt;&gt;""),1,0) + IF(OR(I70&lt;&gt;"",J70&lt;&gt;""),1,0) + IF(OR(K70&lt;&gt;"",L70&lt;&gt;""),1,0) + IF(OR(M70&lt;&gt;"",N70&lt;&gt;""),1,0)</f>
        <v/>
      </c>
      <c r="P70" s="9">
        <f>IF(O70=4,"✅ Đủ 4 nhiệm vụ",IF(O70&gt;0,"⏳ Đạt "&amp;O70&amp;"/4","❌ Chưa nộp"))</f>
        <v/>
      </c>
    </row>
    <row r="71">
      <c r="A71" s="9" t="n">
        <v>67</v>
      </c>
      <c r="B71" s="9" t="inlineStr">
        <is>
          <t>Tuần 2</t>
        </is>
      </c>
      <c r="C71" s="9" t="inlineStr">
        <is>
          <t>Thứ 3</t>
        </is>
      </c>
      <c r="D71" s="9" t="inlineStr">
        <is>
          <t>15/09/2026</t>
        </is>
      </c>
      <c r="E71" s="9" t="inlineStr">
        <is>
          <t>Ngày 08</t>
        </is>
      </c>
      <c r="F71" s="10" t="inlineStr">
        <is>
          <t>Nhung Hoàng</t>
        </is>
      </c>
      <c r="G71" s="19" t="inlineStr"/>
      <c r="H71" s="19" t="inlineStr"/>
      <c r="I71" s="19" t="inlineStr"/>
      <c r="J71" s="19" t="inlineStr"/>
      <c r="K71" s="19" t="inlineStr"/>
      <c r="L71" s="19" t="inlineStr"/>
      <c r="M71" s="19" t="inlineStr"/>
      <c r="N71" s="19" t="inlineStr"/>
      <c r="O71" s="11">
        <f>IF(OR(G71&lt;&gt;"",H71&lt;&gt;""),1,0) + IF(OR(I71&lt;&gt;"",J71&lt;&gt;""),1,0) + IF(OR(K71&lt;&gt;"",L71&lt;&gt;""),1,0) + IF(OR(M71&lt;&gt;"",N71&lt;&gt;""),1,0)</f>
        <v/>
      </c>
      <c r="P71" s="9">
        <f>IF(O71=4,"✅ Đủ 4 nhiệm vụ",IF(O71&gt;0,"⏳ Đạt "&amp;O71&amp;"/4","❌ Chưa nộp"))</f>
        <v/>
      </c>
    </row>
    <row r="72">
      <c r="A72" s="9" t="n">
        <v>68</v>
      </c>
      <c r="B72" s="9" t="inlineStr">
        <is>
          <t>Tuần 2</t>
        </is>
      </c>
      <c r="C72" s="9" t="inlineStr">
        <is>
          <t>Thứ 3</t>
        </is>
      </c>
      <c r="D72" s="9" t="inlineStr">
        <is>
          <t>15/09/2026</t>
        </is>
      </c>
      <c r="E72" s="9" t="inlineStr">
        <is>
          <t>Ngày 08</t>
        </is>
      </c>
      <c r="F72" s="10" t="inlineStr">
        <is>
          <t>Quỳnh Thu</t>
        </is>
      </c>
      <c r="G72" s="19" t="inlineStr"/>
      <c r="H72" s="19" t="inlineStr"/>
      <c r="I72" s="19" t="inlineStr"/>
      <c r="J72" s="19" t="inlineStr"/>
      <c r="K72" s="19" t="inlineStr"/>
      <c r="L72" s="19" t="inlineStr"/>
      <c r="M72" s="19" t="inlineStr"/>
      <c r="N72" s="19" t="inlineStr"/>
      <c r="O72" s="11">
        <f>IF(OR(G72&lt;&gt;"",H72&lt;&gt;""),1,0) + IF(OR(I72&lt;&gt;"",J72&lt;&gt;""),1,0) + IF(OR(K72&lt;&gt;"",L72&lt;&gt;""),1,0) + IF(OR(M72&lt;&gt;"",N72&lt;&gt;""),1,0)</f>
        <v/>
      </c>
      <c r="P72" s="9">
        <f>IF(O72=4,"✅ Đủ 4 nhiệm vụ",IF(O72&gt;0,"⏳ Đạt "&amp;O72&amp;"/4","❌ Chưa nộp"))</f>
        <v/>
      </c>
    </row>
    <row r="73">
      <c r="A73" s="9" t="n">
        <v>69</v>
      </c>
      <c r="B73" s="9" t="inlineStr">
        <is>
          <t>Tuần 2</t>
        </is>
      </c>
      <c r="C73" s="9" t="inlineStr">
        <is>
          <t>Thứ 3</t>
        </is>
      </c>
      <c r="D73" s="9" t="inlineStr">
        <is>
          <t>15/09/2026</t>
        </is>
      </c>
      <c r="E73" s="9" t="inlineStr">
        <is>
          <t>Ngày 08</t>
        </is>
      </c>
      <c r="F73" s="10" t="inlineStr">
        <is>
          <t>TanAnh Pham</t>
        </is>
      </c>
      <c r="G73" s="19" t="inlineStr"/>
      <c r="H73" s="19" t="inlineStr"/>
      <c r="I73" s="19" t="inlineStr"/>
      <c r="J73" s="19" t="inlineStr"/>
      <c r="K73" s="19" t="inlineStr"/>
      <c r="L73" s="19" t="inlineStr"/>
      <c r="M73" s="19" t="inlineStr"/>
      <c r="N73" s="19" t="inlineStr"/>
      <c r="O73" s="11">
        <f>IF(OR(G73&lt;&gt;"",H73&lt;&gt;""),1,0) + IF(OR(I73&lt;&gt;"",J73&lt;&gt;""),1,0) + IF(OR(K73&lt;&gt;"",L73&lt;&gt;""),1,0) + IF(OR(M73&lt;&gt;"",N73&lt;&gt;""),1,0)</f>
        <v/>
      </c>
      <c r="P73" s="9">
        <f>IF(O73=4,"✅ Đủ 4 nhiệm vụ",IF(O73&gt;0,"⏳ Đạt "&amp;O73&amp;"/4","❌ Chưa nộp"))</f>
        <v/>
      </c>
    </row>
    <row r="74">
      <c r="A74" s="9" t="n">
        <v>70</v>
      </c>
      <c r="B74" s="9" t="inlineStr">
        <is>
          <t>Tuần 2</t>
        </is>
      </c>
      <c r="C74" s="9" t="inlineStr">
        <is>
          <t>Thứ 3</t>
        </is>
      </c>
      <c r="D74" s="9" t="inlineStr">
        <is>
          <t>15/09/2026</t>
        </is>
      </c>
      <c r="E74" s="9" t="inlineStr">
        <is>
          <t>Ngày 08</t>
        </is>
      </c>
      <c r="F74" s="10" t="inlineStr">
        <is>
          <t>Thảo Collins Edu</t>
        </is>
      </c>
      <c r="G74" s="19" t="inlineStr"/>
      <c r="H74" s="19" t="inlineStr"/>
      <c r="I74" s="19" t="inlineStr"/>
      <c r="J74" s="19" t="inlineStr"/>
      <c r="K74" s="19" t="inlineStr"/>
      <c r="L74" s="19" t="inlineStr"/>
      <c r="M74" s="19" t="inlineStr"/>
      <c r="N74" s="19" t="inlineStr"/>
      <c r="O74" s="11">
        <f>IF(OR(G74&lt;&gt;"",H74&lt;&gt;""),1,0) + IF(OR(I74&lt;&gt;"",J74&lt;&gt;""),1,0) + IF(OR(K74&lt;&gt;"",L74&lt;&gt;""),1,0) + IF(OR(M74&lt;&gt;"",N74&lt;&gt;""),1,0)</f>
        <v/>
      </c>
      <c r="P74" s="9">
        <f>IF(O74=4,"✅ Đủ 4 nhiệm vụ",IF(O74&gt;0,"⏳ Đạt "&amp;O74&amp;"/4","❌ Chưa nộp"))</f>
        <v/>
      </c>
    </row>
    <row r="75">
      <c r="A75" s="9" t="n">
        <v>71</v>
      </c>
      <c r="B75" s="9" t="inlineStr">
        <is>
          <t>Tuần 2</t>
        </is>
      </c>
      <c r="C75" s="9" t="inlineStr">
        <is>
          <t>Thứ 3</t>
        </is>
      </c>
      <c r="D75" s="9" t="inlineStr">
        <is>
          <t>15/09/2026</t>
        </is>
      </c>
      <c r="E75" s="9" t="inlineStr">
        <is>
          <t>Ngày 08</t>
        </is>
      </c>
      <c r="F75" s="10" t="inlineStr">
        <is>
          <t>Trần Quế Lam</t>
        </is>
      </c>
      <c r="G75" s="19" t="inlineStr"/>
      <c r="H75" s="19" t="inlineStr"/>
      <c r="I75" s="19" t="inlineStr"/>
      <c r="J75" s="19" t="inlineStr"/>
      <c r="K75" s="19" t="inlineStr"/>
      <c r="L75" s="19" t="inlineStr"/>
      <c r="M75" s="19" t="inlineStr"/>
      <c r="N75" s="19" t="inlineStr"/>
      <c r="O75" s="11">
        <f>IF(OR(G75&lt;&gt;"",H75&lt;&gt;""),1,0) + IF(OR(I75&lt;&gt;"",J75&lt;&gt;""),1,0) + IF(OR(K75&lt;&gt;"",L75&lt;&gt;""),1,0) + IF(OR(M75&lt;&gt;"",N75&lt;&gt;""),1,0)</f>
        <v/>
      </c>
      <c r="P75" s="9">
        <f>IF(O75=4,"✅ Đủ 4 nhiệm vụ",IF(O75&gt;0,"⏳ Đạt "&amp;O75&amp;"/4","❌ Chưa nộp"))</f>
        <v/>
      </c>
    </row>
    <row r="76">
      <c r="A76" s="9" t="n">
        <v>72</v>
      </c>
      <c r="B76" s="9" t="inlineStr">
        <is>
          <t>Tuần 2</t>
        </is>
      </c>
      <c r="C76" s="9" t="inlineStr">
        <is>
          <t>Thứ 3</t>
        </is>
      </c>
      <c r="D76" s="9" t="inlineStr">
        <is>
          <t>15/09/2026</t>
        </is>
      </c>
      <c r="E76" s="9" t="inlineStr">
        <is>
          <t>Ngày 08</t>
        </is>
      </c>
      <c r="F76" s="10" t="inlineStr">
        <is>
          <t>Phạm Huyền</t>
        </is>
      </c>
      <c r="G76" s="19" t="inlineStr"/>
      <c r="H76" s="19" t="inlineStr"/>
      <c r="I76" s="19" t="inlineStr"/>
      <c r="J76" s="19" t="inlineStr"/>
      <c r="K76" s="19" t="inlineStr"/>
      <c r="L76" s="19" t="inlineStr"/>
      <c r="M76" s="19" t="inlineStr"/>
      <c r="N76" s="19" t="inlineStr"/>
      <c r="O76" s="11">
        <f>IF(OR(G76&lt;&gt;"",H76&lt;&gt;""),1,0) + IF(OR(I76&lt;&gt;"",J76&lt;&gt;""),1,0) + IF(OR(K76&lt;&gt;"",L76&lt;&gt;""),1,0) + IF(OR(M76&lt;&gt;"",N76&lt;&gt;""),1,0)</f>
        <v/>
      </c>
      <c r="P76" s="9">
        <f>IF(O76=4,"✅ Đủ 4 nhiệm vụ",IF(O76&gt;0,"⏳ Đạt "&amp;O76&amp;"/4","❌ Chưa nộp"))</f>
        <v/>
      </c>
    </row>
    <row r="77">
      <c r="A77" s="5" t="n">
        <v>73</v>
      </c>
      <c r="B77" s="5" t="inlineStr">
        <is>
          <t>Tuần 2</t>
        </is>
      </c>
      <c r="C77" s="5" t="inlineStr">
        <is>
          <t>Thứ 4</t>
        </is>
      </c>
      <c r="D77" s="5" t="inlineStr">
        <is>
          <t>16/09/2026</t>
        </is>
      </c>
      <c r="E77" s="5" t="inlineStr">
        <is>
          <t>Ngày 09</t>
        </is>
      </c>
      <c r="F77" s="6" t="inlineStr">
        <is>
          <t>Nancy</t>
        </is>
      </c>
      <c r="G77" s="18" t="inlineStr"/>
      <c r="H77" s="18" t="inlineStr"/>
      <c r="I77" s="18" t="inlineStr"/>
      <c r="J77" s="18" t="inlineStr"/>
      <c r="K77" s="18" t="inlineStr"/>
      <c r="L77" s="18" t="inlineStr"/>
      <c r="M77" s="18" t="inlineStr"/>
      <c r="N77" s="18" t="inlineStr"/>
      <c r="O77" s="7">
        <f>IF(OR(G77&lt;&gt;"",H77&lt;&gt;""),1,0) + IF(OR(I77&lt;&gt;"",J77&lt;&gt;""),1,0) + IF(OR(K77&lt;&gt;"",L77&lt;&gt;""),1,0) + IF(OR(M77&lt;&gt;"",N77&lt;&gt;""),1,0)</f>
        <v/>
      </c>
      <c r="P77" s="5">
        <f>IF(O77=4,"✅ Đủ 4 nhiệm vụ",IF(O77&gt;0,"⏳ Đạt "&amp;O77&amp;"/4","❌ Chưa nộp"))</f>
        <v/>
      </c>
    </row>
    <row r="78">
      <c r="A78" s="5" t="n">
        <v>74</v>
      </c>
      <c r="B78" s="5" t="inlineStr">
        <is>
          <t>Tuần 2</t>
        </is>
      </c>
      <c r="C78" s="5" t="inlineStr">
        <is>
          <t>Thứ 4</t>
        </is>
      </c>
      <c r="D78" s="5" t="inlineStr">
        <is>
          <t>16/09/2026</t>
        </is>
      </c>
      <c r="E78" s="5" t="inlineStr">
        <is>
          <t>Ngày 09</t>
        </is>
      </c>
      <c r="F78" s="6" t="inlineStr">
        <is>
          <t>Hoài Học Mãi</t>
        </is>
      </c>
      <c r="G78" s="18" t="inlineStr"/>
      <c r="H78" s="18" t="inlineStr"/>
      <c r="I78" s="18" t="inlineStr"/>
      <c r="J78" s="18" t="inlineStr"/>
      <c r="K78" s="18" t="inlineStr"/>
      <c r="L78" s="18" t="inlineStr"/>
      <c r="M78" s="18" t="inlineStr"/>
      <c r="N78" s="18" t="inlineStr"/>
      <c r="O78" s="7">
        <f>IF(OR(G78&lt;&gt;"",H78&lt;&gt;""),1,0) + IF(OR(I78&lt;&gt;"",J78&lt;&gt;""),1,0) + IF(OR(K78&lt;&gt;"",L78&lt;&gt;""),1,0) + IF(OR(M78&lt;&gt;"",N78&lt;&gt;""),1,0)</f>
        <v/>
      </c>
      <c r="P78" s="5">
        <f>IF(O78=4,"✅ Đủ 4 nhiệm vụ",IF(O78&gt;0,"⏳ Đạt "&amp;O78&amp;"/4","❌ Chưa nộp"))</f>
        <v/>
      </c>
    </row>
    <row r="79">
      <c r="A79" s="5" t="n">
        <v>75</v>
      </c>
      <c r="B79" s="5" t="inlineStr">
        <is>
          <t>Tuần 2</t>
        </is>
      </c>
      <c r="C79" s="5" t="inlineStr">
        <is>
          <t>Thứ 4</t>
        </is>
      </c>
      <c r="D79" s="5" t="inlineStr">
        <is>
          <t>16/09/2026</t>
        </is>
      </c>
      <c r="E79" s="5" t="inlineStr">
        <is>
          <t>Ngày 09</t>
        </is>
      </c>
      <c r="F79" s="6" t="inlineStr">
        <is>
          <t>Lambee</t>
        </is>
      </c>
      <c r="G79" s="18" t="inlineStr"/>
      <c r="H79" s="18" t="inlineStr"/>
      <c r="I79" s="18" t="inlineStr"/>
      <c r="J79" s="18" t="inlineStr"/>
      <c r="K79" s="18" t="inlineStr"/>
      <c r="L79" s="18" t="inlineStr"/>
      <c r="M79" s="18" t="inlineStr"/>
      <c r="N79" s="18" t="inlineStr"/>
      <c r="O79" s="7">
        <f>IF(OR(G79&lt;&gt;"",H79&lt;&gt;""),1,0) + IF(OR(I79&lt;&gt;"",J79&lt;&gt;""),1,0) + IF(OR(K79&lt;&gt;"",L79&lt;&gt;""),1,0) + IF(OR(M79&lt;&gt;"",N79&lt;&gt;""),1,0)</f>
        <v/>
      </c>
      <c r="P79" s="5">
        <f>IF(O79=4,"✅ Đủ 4 nhiệm vụ",IF(O79&gt;0,"⏳ Đạt "&amp;O79&amp;"/4","❌ Chưa nộp"))</f>
        <v/>
      </c>
    </row>
    <row r="80">
      <c r="A80" s="5" t="n">
        <v>76</v>
      </c>
      <c r="B80" s="5" t="inlineStr">
        <is>
          <t>Tuần 2</t>
        </is>
      </c>
      <c r="C80" s="5" t="inlineStr">
        <is>
          <t>Thứ 4</t>
        </is>
      </c>
      <c r="D80" s="5" t="inlineStr">
        <is>
          <t>16/09/2026</t>
        </is>
      </c>
      <c r="E80" s="5" t="inlineStr">
        <is>
          <t>Ngày 09</t>
        </is>
      </c>
      <c r="F80" s="6" t="inlineStr">
        <is>
          <t>Nhung Hoàng</t>
        </is>
      </c>
      <c r="G80" s="18" t="inlineStr"/>
      <c r="H80" s="18" t="inlineStr"/>
      <c r="I80" s="18" t="inlineStr"/>
      <c r="J80" s="18" t="inlineStr"/>
      <c r="K80" s="18" t="inlineStr"/>
      <c r="L80" s="18" t="inlineStr"/>
      <c r="M80" s="18" t="inlineStr"/>
      <c r="N80" s="18" t="inlineStr"/>
      <c r="O80" s="7">
        <f>IF(OR(G80&lt;&gt;"",H80&lt;&gt;""),1,0) + IF(OR(I80&lt;&gt;"",J80&lt;&gt;""),1,0) + IF(OR(K80&lt;&gt;"",L80&lt;&gt;""),1,0) + IF(OR(M80&lt;&gt;"",N80&lt;&gt;""),1,0)</f>
        <v/>
      </c>
      <c r="P80" s="5">
        <f>IF(O80=4,"✅ Đủ 4 nhiệm vụ",IF(O80&gt;0,"⏳ Đạt "&amp;O80&amp;"/4","❌ Chưa nộp"))</f>
        <v/>
      </c>
    </row>
    <row r="81">
      <c r="A81" s="5" t="n">
        <v>77</v>
      </c>
      <c r="B81" s="5" t="inlineStr">
        <is>
          <t>Tuần 2</t>
        </is>
      </c>
      <c r="C81" s="5" t="inlineStr">
        <is>
          <t>Thứ 4</t>
        </is>
      </c>
      <c r="D81" s="5" t="inlineStr">
        <is>
          <t>16/09/2026</t>
        </is>
      </c>
      <c r="E81" s="5" t="inlineStr">
        <is>
          <t>Ngày 09</t>
        </is>
      </c>
      <c r="F81" s="6" t="inlineStr">
        <is>
          <t>Quỳnh Thu</t>
        </is>
      </c>
      <c r="G81" s="18" t="inlineStr"/>
      <c r="H81" s="18" t="inlineStr"/>
      <c r="I81" s="18" t="inlineStr"/>
      <c r="J81" s="18" t="inlineStr"/>
      <c r="K81" s="18" t="inlineStr"/>
      <c r="L81" s="18" t="inlineStr"/>
      <c r="M81" s="18" t="inlineStr"/>
      <c r="N81" s="18" t="inlineStr"/>
      <c r="O81" s="7">
        <f>IF(OR(G81&lt;&gt;"",H81&lt;&gt;""),1,0) + IF(OR(I81&lt;&gt;"",J81&lt;&gt;""),1,0) + IF(OR(K81&lt;&gt;"",L81&lt;&gt;""),1,0) + IF(OR(M81&lt;&gt;"",N81&lt;&gt;""),1,0)</f>
        <v/>
      </c>
      <c r="P81" s="5">
        <f>IF(O81=4,"✅ Đủ 4 nhiệm vụ",IF(O81&gt;0,"⏳ Đạt "&amp;O81&amp;"/4","❌ Chưa nộp"))</f>
        <v/>
      </c>
    </row>
    <row r="82">
      <c r="A82" s="5" t="n">
        <v>78</v>
      </c>
      <c r="B82" s="5" t="inlineStr">
        <is>
          <t>Tuần 2</t>
        </is>
      </c>
      <c r="C82" s="5" t="inlineStr">
        <is>
          <t>Thứ 4</t>
        </is>
      </c>
      <c r="D82" s="5" t="inlineStr">
        <is>
          <t>16/09/2026</t>
        </is>
      </c>
      <c r="E82" s="5" t="inlineStr">
        <is>
          <t>Ngày 09</t>
        </is>
      </c>
      <c r="F82" s="6" t="inlineStr">
        <is>
          <t>TanAnh Pham</t>
        </is>
      </c>
      <c r="G82" s="18" t="inlineStr"/>
      <c r="H82" s="18" t="inlineStr"/>
      <c r="I82" s="18" t="inlineStr"/>
      <c r="J82" s="18" t="inlineStr"/>
      <c r="K82" s="18" t="inlineStr"/>
      <c r="L82" s="18" t="inlineStr"/>
      <c r="M82" s="18" t="inlineStr"/>
      <c r="N82" s="18" t="inlineStr"/>
      <c r="O82" s="7">
        <f>IF(OR(G82&lt;&gt;"",H82&lt;&gt;""),1,0) + IF(OR(I82&lt;&gt;"",J82&lt;&gt;""),1,0) + IF(OR(K82&lt;&gt;"",L82&lt;&gt;""),1,0) + IF(OR(M82&lt;&gt;"",N82&lt;&gt;""),1,0)</f>
        <v/>
      </c>
      <c r="P82" s="5">
        <f>IF(O82=4,"✅ Đủ 4 nhiệm vụ",IF(O82&gt;0,"⏳ Đạt "&amp;O82&amp;"/4","❌ Chưa nộp"))</f>
        <v/>
      </c>
    </row>
    <row r="83">
      <c r="A83" s="5" t="n">
        <v>79</v>
      </c>
      <c r="B83" s="5" t="inlineStr">
        <is>
          <t>Tuần 2</t>
        </is>
      </c>
      <c r="C83" s="5" t="inlineStr">
        <is>
          <t>Thứ 4</t>
        </is>
      </c>
      <c r="D83" s="5" t="inlineStr">
        <is>
          <t>16/09/2026</t>
        </is>
      </c>
      <c r="E83" s="5" t="inlineStr">
        <is>
          <t>Ngày 09</t>
        </is>
      </c>
      <c r="F83" s="6" t="inlineStr">
        <is>
          <t>Thảo Collins Edu</t>
        </is>
      </c>
      <c r="G83" s="18" t="inlineStr"/>
      <c r="H83" s="18" t="inlineStr"/>
      <c r="I83" s="18" t="inlineStr"/>
      <c r="J83" s="18" t="inlineStr"/>
      <c r="K83" s="18" t="inlineStr"/>
      <c r="L83" s="18" t="inlineStr"/>
      <c r="M83" s="18" t="inlineStr"/>
      <c r="N83" s="18" t="inlineStr"/>
      <c r="O83" s="7">
        <f>IF(OR(G83&lt;&gt;"",H83&lt;&gt;""),1,0) + IF(OR(I83&lt;&gt;"",J83&lt;&gt;""),1,0) + IF(OR(K83&lt;&gt;"",L83&lt;&gt;""),1,0) + IF(OR(M83&lt;&gt;"",N83&lt;&gt;""),1,0)</f>
        <v/>
      </c>
      <c r="P83" s="5">
        <f>IF(O83=4,"✅ Đủ 4 nhiệm vụ",IF(O83&gt;0,"⏳ Đạt "&amp;O83&amp;"/4","❌ Chưa nộp"))</f>
        <v/>
      </c>
    </row>
    <row r="84">
      <c r="A84" s="5" t="n">
        <v>80</v>
      </c>
      <c r="B84" s="5" t="inlineStr">
        <is>
          <t>Tuần 2</t>
        </is>
      </c>
      <c r="C84" s="5" t="inlineStr">
        <is>
          <t>Thứ 4</t>
        </is>
      </c>
      <c r="D84" s="5" t="inlineStr">
        <is>
          <t>16/09/2026</t>
        </is>
      </c>
      <c r="E84" s="5" t="inlineStr">
        <is>
          <t>Ngày 09</t>
        </is>
      </c>
      <c r="F84" s="6" t="inlineStr">
        <is>
          <t>Trần Quế Lam</t>
        </is>
      </c>
      <c r="G84" s="18" t="inlineStr"/>
      <c r="H84" s="18" t="inlineStr"/>
      <c r="I84" s="18" t="inlineStr"/>
      <c r="J84" s="18" t="inlineStr"/>
      <c r="K84" s="18" t="inlineStr"/>
      <c r="L84" s="18" t="inlineStr"/>
      <c r="M84" s="18" t="inlineStr"/>
      <c r="N84" s="18" t="inlineStr"/>
      <c r="O84" s="7">
        <f>IF(OR(G84&lt;&gt;"",H84&lt;&gt;""),1,0) + IF(OR(I84&lt;&gt;"",J84&lt;&gt;""),1,0) + IF(OR(K84&lt;&gt;"",L84&lt;&gt;""),1,0) + IF(OR(M84&lt;&gt;"",N84&lt;&gt;""),1,0)</f>
        <v/>
      </c>
      <c r="P84" s="5">
        <f>IF(O84=4,"✅ Đủ 4 nhiệm vụ",IF(O84&gt;0,"⏳ Đạt "&amp;O84&amp;"/4","❌ Chưa nộp"))</f>
        <v/>
      </c>
    </row>
    <row r="85">
      <c r="A85" s="5" t="n">
        <v>81</v>
      </c>
      <c r="B85" s="5" t="inlineStr">
        <is>
          <t>Tuần 2</t>
        </is>
      </c>
      <c r="C85" s="5" t="inlineStr">
        <is>
          <t>Thứ 4</t>
        </is>
      </c>
      <c r="D85" s="5" t="inlineStr">
        <is>
          <t>16/09/2026</t>
        </is>
      </c>
      <c r="E85" s="5" t="inlineStr">
        <is>
          <t>Ngày 09</t>
        </is>
      </c>
      <c r="F85" s="6" t="inlineStr">
        <is>
          <t>Phạm Huyền</t>
        </is>
      </c>
      <c r="G85" s="18" t="inlineStr"/>
      <c r="H85" s="18" t="inlineStr"/>
      <c r="I85" s="18" t="inlineStr"/>
      <c r="J85" s="18" t="inlineStr"/>
      <c r="K85" s="18" t="inlineStr"/>
      <c r="L85" s="18" t="inlineStr"/>
      <c r="M85" s="18" t="inlineStr"/>
      <c r="N85" s="18" t="inlineStr"/>
      <c r="O85" s="7">
        <f>IF(OR(G85&lt;&gt;"",H85&lt;&gt;""),1,0) + IF(OR(I85&lt;&gt;"",J85&lt;&gt;""),1,0) + IF(OR(K85&lt;&gt;"",L85&lt;&gt;""),1,0) + IF(OR(M85&lt;&gt;"",N85&lt;&gt;""),1,0)</f>
        <v/>
      </c>
      <c r="P85" s="5">
        <f>IF(O85=4,"✅ Đủ 4 nhiệm vụ",IF(O85&gt;0,"⏳ Đạt "&amp;O85&amp;"/4","❌ Chưa nộp"))</f>
        <v/>
      </c>
    </row>
    <row r="86">
      <c r="A86" s="9" t="n">
        <v>82</v>
      </c>
      <c r="B86" s="9" t="inlineStr">
        <is>
          <t>Tuần 2</t>
        </is>
      </c>
      <c r="C86" s="9" t="inlineStr">
        <is>
          <t>Thứ 5</t>
        </is>
      </c>
      <c r="D86" s="9" t="inlineStr">
        <is>
          <t>17/09/2026</t>
        </is>
      </c>
      <c r="E86" s="9" t="inlineStr">
        <is>
          <t>Ngày 10</t>
        </is>
      </c>
      <c r="F86" s="10" t="inlineStr">
        <is>
          <t>Nancy</t>
        </is>
      </c>
      <c r="G86" s="19" t="inlineStr"/>
      <c r="H86" s="19" t="inlineStr"/>
      <c r="I86" s="19" t="inlineStr"/>
      <c r="J86" s="19" t="inlineStr"/>
      <c r="K86" s="19" t="inlineStr"/>
      <c r="L86" s="19" t="inlineStr"/>
      <c r="M86" s="19" t="inlineStr"/>
      <c r="N86" s="19" t="inlineStr"/>
      <c r="O86" s="11">
        <f>IF(OR(G86&lt;&gt;"",H86&lt;&gt;""),1,0) + IF(OR(I86&lt;&gt;"",J86&lt;&gt;""),1,0) + IF(OR(K86&lt;&gt;"",L86&lt;&gt;""),1,0) + IF(OR(M86&lt;&gt;"",N86&lt;&gt;""),1,0)</f>
        <v/>
      </c>
      <c r="P86" s="9">
        <f>IF(O86=4,"✅ Đủ 4 nhiệm vụ",IF(O86&gt;0,"⏳ Đạt "&amp;O86&amp;"/4","❌ Chưa nộp"))</f>
        <v/>
      </c>
    </row>
    <row r="87">
      <c r="A87" s="9" t="n">
        <v>83</v>
      </c>
      <c r="B87" s="9" t="inlineStr">
        <is>
          <t>Tuần 2</t>
        </is>
      </c>
      <c r="C87" s="9" t="inlineStr">
        <is>
          <t>Thứ 5</t>
        </is>
      </c>
      <c r="D87" s="9" t="inlineStr">
        <is>
          <t>17/09/2026</t>
        </is>
      </c>
      <c r="E87" s="9" t="inlineStr">
        <is>
          <t>Ngày 10</t>
        </is>
      </c>
      <c r="F87" s="10" t="inlineStr">
        <is>
          <t>Hoài Học Mãi</t>
        </is>
      </c>
      <c r="G87" s="19" t="inlineStr"/>
      <c r="H87" s="19" t="inlineStr"/>
      <c r="I87" s="19" t="inlineStr"/>
      <c r="J87" s="19" t="inlineStr"/>
      <c r="K87" s="19" t="inlineStr"/>
      <c r="L87" s="19" t="inlineStr"/>
      <c r="M87" s="19" t="inlineStr"/>
      <c r="N87" s="19" t="inlineStr"/>
      <c r="O87" s="11">
        <f>IF(OR(G87&lt;&gt;"",H87&lt;&gt;""),1,0) + IF(OR(I87&lt;&gt;"",J87&lt;&gt;""),1,0) + IF(OR(K87&lt;&gt;"",L87&lt;&gt;""),1,0) + IF(OR(M87&lt;&gt;"",N87&lt;&gt;""),1,0)</f>
        <v/>
      </c>
      <c r="P87" s="9">
        <f>IF(O87=4,"✅ Đủ 4 nhiệm vụ",IF(O87&gt;0,"⏳ Đạt "&amp;O87&amp;"/4","❌ Chưa nộp"))</f>
        <v/>
      </c>
    </row>
    <row r="88">
      <c r="A88" s="9" t="n">
        <v>84</v>
      </c>
      <c r="B88" s="9" t="inlineStr">
        <is>
          <t>Tuần 2</t>
        </is>
      </c>
      <c r="C88" s="9" t="inlineStr">
        <is>
          <t>Thứ 5</t>
        </is>
      </c>
      <c r="D88" s="9" t="inlineStr">
        <is>
          <t>17/09/2026</t>
        </is>
      </c>
      <c r="E88" s="9" t="inlineStr">
        <is>
          <t>Ngày 10</t>
        </is>
      </c>
      <c r="F88" s="10" t="inlineStr">
        <is>
          <t>Lambee</t>
        </is>
      </c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  <c r="O88" s="11">
        <f>IF(OR(G88&lt;&gt;"",H88&lt;&gt;""),1,0) + IF(OR(I88&lt;&gt;"",J88&lt;&gt;""),1,0) + IF(OR(K88&lt;&gt;"",L88&lt;&gt;""),1,0) + IF(OR(M88&lt;&gt;"",N88&lt;&gt;""),1,0)</f>
        <v/>
      </c>
      <c r="P88" s="9">
        <f>IF(O88=4,"✅ Đủ 4 nhiệm vụ",IF(O88&gt;0,"⏳ Đạt "&amp;O88&amp;"/4","❌ Chưa nộp"))</f>
        <v/>
      </c>
    </row>
    <row r="89">
      <c r="A89" s="9" t="n">
        <v>85</v>
      </c>
      <c r="B89" s="9" t="inlineStr">
        <is>
          <t>Tuần 2</t>
        </is>
      </c>
      <c r="C89" s="9" t="inlineStr">
        <is>
          <t>Thứ 5</t>
        </is>
      </c>
      <c r="D89" s="9" t="inlineStr">
        <is>
          <t>17/09/2026</t>
        </is>
      </c>
      <c r="E89" s="9" t="inlineStr">
        <is>
          <t>Ngày 10</t>
        </is>
      </c>
      <c r="F89" s="10" t="inlineStr">
        <is>
          <t>Nhung Hoàng</t>
        </is>
      </c>
      <c r="G89" s="19" t="inlineStr"/>
      <c r="H89" s="19" t="inlineStr"/>
      <c r="I89" s="19" t="inlineStr"/>
      <c r="J89" s="19" t="inlineStr"/>
      <c r="K89" s="19" t="inlineStr"/>
      <c r="L89" s="19" t="inlineStr"/>
      <c r="M89" s="19" t="inlineStr"/>
      <c r="N89" s="19" t="inlineStr"/>
      <c r="O89" s="11">
        <f>IF(OR(G89&lt;&gt;"",H89&lt;&gt;""),1,0) + IF(OR(I89&lt;&gt;"",J89&lt;&gt;""),1,0) + IF(OR(K89&lt;&gt;"",L89&lt;&gt;""),1,0) + IF(OR(M89&lt;&gt;"",N89&lt;&gt;""),1,0)</f>
        <v/>
      </c>
      <c r="P89" s="9">
        <f>IF(O89=4,"✅ Đủ 4 nhiệm vụ",IF(O89&gt;0,"⏳ Đạt "&amp;O89&amp;"/4","❌ Chưa nộp"))</f>
        <v/>
      </c>
    </row>
    <row r="90">
      <c r="A90" s="9" t="n">
        <v>86</v>
      </c>
      <c r="B90" s="9" t="inlineStr">
        <is>
          <t>Tuần 2</t>
        </is>
      </c>
      <c r="C90" s="9" t="inlineStr">
        <is>
          <t>Thứ 5</t>
        </is>
      </c>
      <c r="D90" s="9" t="inlineStr">
        <is>
          <t>17/09/2026</t>
        </is>
      </c>
      <c r="E90" s="9" t="inlineStr">
        <is>
          <t>Ngày 10</t>
        </is>
      </c>
      <c r="F90" s="10" t="inlineStr">
        <is>
          <t>Quỳnh Thu</t>
        </is>
      </c>
      <c r="G90" s="19" t="inlineStr"/>
      <c r="H90" s="19" t="inlineStr"/>
      <c r="I90" s="19" t="inlineStr"/>
      <c r="J90" s="19" t="inlineStr"/>
      <c r="K90" s="19" t="inlineStr"/>
      <c r="L90" s="19" t="inlineStr"/>
      <c r="M90" s="19" t="inlineStr"/>
      <c r="N90" s="19" t="inlineStr"/>
      <c r="O90" s="11">
        <f>IF(OR(G90&lt;&gt;"",H90&lt;&gt;""),1,0) + IF(OR(I90&lt;&gt;"",J90&lt;&gt;""),1,0) + IF(OR(K90&lt;&gt;"",L90&lt;&gt;""),1,0) + IF(OR(M90&lt;&gt;"",N90&lt;&gt;""),1,0)</f>
        <v/>
      </c>
      <c r="P90" s="9">
        <f>IF(O90=4,"✅ Đủ 4 nhiệm vụ",IF(O90&gt;0,"⏳ Đạt "&amp;O90&amp;"/4","❌ Chưa nộp"))</f>
        <v/>
      </c>
    </row>
    <row r="91">
      <c r="A91" s="9" t="n">
        <v>87</v>
      </c>
      <c r="B91" s="9" t="inlineStr">
        <is>
          <t>Tuần 2</t>
        </is>
      </c>
      <c r="C91" s="9" t="inlineStr">
        <is>
          <t>Thứ 5</t>
        </is>
      </c>
      <c r="D91" s="9" t="inlineStr">
        <is>
          <t>17/09/2026</t>
        </is>
      </c>
      <c r="E91" s="9" t="inlineStr">
        <is>
          <t>Ngày 10</t>
        </is>
      </c>
      <c r="F91" s="10" t="inlineStr">
        <is>
          <t>TanAnh Pham</t>
        </is>
      </c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  <c r="O91" s="11">
        <f>IF(OR(G91&lt;&gt;"",H91&lt;&gt;""),1,0) + IF(OR(I91&lt;&gt;"",J91&lt;&gt;""),1,0) + IF(OR(K91&lt;&gt;"",L91&lt;&gt;""),1,0) + IF(OR(M91&lt;&gt;"",N91&lt;&gt;""),1,0)</f>
        <v/>
      </c>
      <c r="P91" s="9">
        <f>IF(O91=4,"✅ Đủ 4 nhiệm vụ",IF(O91&gt;0,"⏳ Đạt "&amp;O91&amp;"/4","❌ Chưa nộp"))</f>
        <v/>
      </c>
    </row>
    <row r="92">
      <c r="A92" s="9" t="n">
        <v>88</v>
      </c>
      <c r="B92" s="9" t="inlineStr">
        <is>
          <t>Tuần 2</t>
        </is>
      </c>
      <c r="C92" s="9" t="inlineStr">
        <is>
          <t>Thứ 5</t>
        </is>
      </c>
      <c r="D92" s="9" t="inlineStr">
        <is>
          <t>17/09/2026</t>
        </is>
      </c>
      <c r="E92" s="9" t="inlineStr">
        <is>
          <t>Ngày 10</t>
        </is>
      </c>
      <c r="F92" s="10" t="inlineStr">
        <is>
          <t>Thảo Collins Edu</t>
        </is>
      </c>
      <c r="G92" s="19" t="inlineStr"/>
      <c r="H92" s="19" t="inlineStr"/>
      <c r="I92" s="19" t="inlineStr"/>
      <c r="J92" s="19" t="inlineStr"/>
      <c r="K92" s="19" t="inlineStr"/>
      <c r="L92" s="19" t="inlineStr"/>
      <c r="M92" s="19" t="inlineStr"/>
      <c r="N92" s="19" t="inlineStr"/>
      <c r="O92" s="11">
        <f>IF(OR(G92&lt;&gt;"",H92&lt;&gt;""),1,0) + IF(OR(I92&lt;&gt;"",J92&lt;&gt;""),1,0) + IF(OR(K92&lt;&gt;"",L92&lt;&gt;""),1,0) + IF(OR(M92&lt;&gt;"",N92&lt;&gt;""),1,0)</f>
        <v/>
      </c>
      <c r="P92" s="9">
        <f>IF(O92=4,"✅ Đủ 4 nhiệm vụ",IF(O92&gt;0,"⏳ Đạt "&amp;O92&amp;"/4","❌ Chưa nộp"))</f>
        <v/>
      </c>
    </row>
    <row r="93">
      <c r="A93" s="9" t="n">
        <v>89</v>
      </c>
      <c r="B93" s="9" t="inlineStr">
        <is>
          <t>Tuần 2</t>
        </is>
      </c>
      <c r="C93" s="9" t="inlineStr">
        <is>
          <t>Thứ 5</t>
        </is>
      </c>
      <c r="D93" s="9" t="inlineStr">
        <is>
          <t>17/09/2026</t>
        </is>
      </c>
      <c r="E93" s="9" t="inlineStr">
        <is>
          <t>Ngày 10</t>
        </is>
      </c>
      <c r="F93" s="10" t="inlineStr">
        <is>
          <t>Trần Quế Lam</t>
        </is>
      </c>
      <c r="G93" s="19" t="inlineStr"/>
      <c r="H93" s="19" t="inlineStr"/>
      <c r="I93" s="19" t="inlineStr"/>
      <c r="J93" s="19" t="inlineStr"/>
      <c r="K93" s="19" t="inlineStr"/>
      <c r="L93" s="19" t="inlineStr"/>
      <c r="M93" s="19" t="inlineStr"/>
      <c r="N93" s="19" t="inlineStr"/>
      <c r="O93" s="11">
        <f>IF(OR(G93&lt;&gt;"",H93&lt;&gt;""),1,0) + IF(OR(I93&lt;&gt;"",J93&lt;&gt;""),1,0) + IF(OR(K93&lt;&gt;"",L93&lt;&gt;""),1,0) + IF(OR(M93&lt;&gt;"",N93&lt;&gt;""),1,0)</f>
        <v/>
      </c>
      <c r="P93" s="9">
        <f>IF(O93=4,"✅ Đủ 4 nhiệm vụ",IF(O93&gt;0,"⏳ Đạt "&amp;O93&amp;"/4","❌ Chưa nộp"))</f>
        <v/>
      </c>
    </row>
    <row r="94">
      <c r="A94" s="9" t="n">
        <v>90</v>
      </c>
      <c r="B94" s="9" t="inlineStr">
        <is>
          <t>Tuần 2</t>
        </is>
      </c>
      <c r="C94" s="9" t="inlineStr">
        <is>
          <t>Thứ 5</t>
        </is>
      </c>
      <c r="D94" s="9" t="inlineStr">
        <is>
          <t>17/09/2026</t>
        </is>
      </c>
      <c r="E94" s="9" t="inlineStr">
        <is>
          <t>Ngày 10</t>
        </is>
      </c>
      <c r="F94" s="10" t="inlineStr">
        <is>
          <t>Phạm Huyền</t>
        </is>
      </c>
      <c r="G94" s="19" t="inlineStr"/>
      <c r="H94" s="19" t="inlineStr"/>
      <c r="I94" s="19" t="inlineStr"/>
      <c r="J94" s="19" t="inlineStr"/>
      <c r="K94" s="19" t="inlineStr"/>
      <c r="L94" s="19" t="inlineStr"/>
      <c r="M94" s="19" t="inlineStr"/>
      <c r="N94" s="19" t="inlineStr"/>
      <c r="O94" s="11">
        <f>IF(OR(G94&lt;&gt;"",H94&lt;&gt;""),1,0) + IF(OR(I94&lt;&gt;"",J94&lt;&gt;""),1,0) + IF(OR(K94&lt;&gt;"",L94&lt;&gt;""),1,0) + IF(OR(M94&lt;&gt;"",N94&lt;&gt;""),1,0)</f>
        <v/>
      </c>
      <c r="P94" s="9">
        <f>IF(O94=4,"✅ Đủ 4 nhiệm vụ",IF(O94&gt;0,"⏳ Đạt "&amp;O94&amp;"/4","❌ Chưa nộp"))</f>
        <v/>
      </c>
    </row>
    <row r="95">
      <c r="A95" s="5" t="n">
        <v>91</v>
      </c>
      <c r="B95" s="5" t="inlineStr">
        <is>
          <t>Tuần 2</t>
        </is>
      </c>
      <c r="C95" s="5" t="inlineStr">
        <is>
          <t>Thứ 6</t>
        </is>
      </c>
      <c r="D95" s="5" t="inlineStr">
        <is>
          <t>18/09/2026</t>
        </is>
      </c>
      <c r="E95" s="5" t="inlineStr">
        <is>
          <t>Ngày 11</t>
        </is>
      </c>
      <c r="F95" s="6" t="inlineStr">
        <is>
          <t>Nancy</t>
        </is>
      </c>
      <c r="G95" s="18" t="inlineStr"/>
      <c r="H95" s="18" t="inlineStr"/>
      <c r="I95" s="18" t="inlineStr"/>
      <c r="J95" s="18" t="inlineStr"/>
      <c r="K95" s="18" t="inlineStr"/>
      <c r="L95" s="18" t="inlineStr"/>
      <c r="M95" s="18" t="inlineStr"/>
      <c r="N95" s="18" t="inlineStr"/>
      <c r="O95" s="7">
        <f>IF(OR(G95&lt;&gt;"",H95&lt;&gt;""),1,0) + IF(OR(I95&lt;&gt;"",J95&lt;&gt;""),1,0) + IF(OR(K95&lt;&gt;"",L95&lt;&gt;""),1,0) + IF(OR(M95&lt;&gt;"",N95&lt;&gt;""),1,0)</f>
        <v/>
      </c>
      <c r="P95" s="5">
        <f>IF(O95=4,"✅ Đủ 4 nhiệm vụ",IF(O95&gt;0,"⏳ Đạt "&amp;O95&amp;"/4","❌ Chưa nộp"))</f>
        <v/>
      </c>
    </row>
    <row r="96">
      <c r="A96" s="5" t="n">
        <v>92</v>
      </c>
      <c r="B96" s="5" t="inlineStr">
        <is>
          <t>Tuần 2</t>
        </is>
      </c>
      <c r="C96" s="5" t="inlineStr">
        <is>
          <t>Thứ 6</t>
        </is>
      </c>
      <c r="D96" s="5" t="inlineStr">
        <is>
          <t>18/09/2026</t>
        </is>
      </c>
      <c r="E96" s="5" t="inlineStr">
        <is>
          <t>Ngày 11</t>
        </is>
      </c>
      <c r="F96" s="6" t="inlineStr">
        <is>
          <t>Hoài Học Mãi</t>
        </is>
      </c>
      <c r="G96" s="18" t="inlineStr"/>
      <c r="H96" s="18" t="inlineStr"/>
      <c r="I96" s="18" t="inlineStr"/>
      <c r="J96" s="18" t="inlineStr"/>
      <c r="K96" s="18" t="inlineStr"/>
      <c r="L96" s="18" t="inlineStr"/>
      <c r="M96" s="18" t="inlineStr"/>
      <c r="N96" s="18" t="inlineStr"/>
      <c r="O96" s="7">
        <f>IF(OR(G96&lt;&gt;"",H96&lt;&gt;""),1,0) + IF(OR(I96&lt;&gt;"",J96&lt;&gt;""),1,0) + IF(OR(K96&lt;&gt;"",L96&lt;&gt;""),1,0) + IF(OR(M96&lt;&gt;"",N96&lt;&gt;""),1,0)</f>
        <v/>
      </c>
      <c r="P96" s="5">
        <f>IF(O96=4,"✅ Đủ 4 nhiệm vụ",IF(O96&gt;0,"⏳ Đạt "&amp;O96&amp;"/4","❌ Chưa nộp"))</f>
        <v/>
      </c>
    </row>
    <row r="97">
      <c r="A97" s="5" t="n">
        <v>93</v>
      </c>
      <c r="B97" s="5" t="inlineStr">
        <is>
          <t>Tuần 2</t>
        </is>
      </c>
      <c r="C97" s="5" t="inlineStr">
        <is>
          <t>Thứ 6</t>
        </is>
      </c>
      <c r="D97" s="5" t="inlineStr">
        <is>
          <t>18/09/2026</t>
        </is>
      </c>
      <c r="E97" s="5" t="inlineStr">
        <is>
          <t>Ngày 11</t>
        </is>
      </c>
      <c r="F97" s="6" t="inlineStr">
        <is>
          <t>Lambee</t>
        </is>
      </c>
      <c r="G97" s="18" t="inlineStr"/>
      <c r="H97" s="18" t="inlineStr"/>
      <c r="I97" s="18" t="inlineStr"/>
      <c r="J97" s="18" t="inlineStr"/>
      <c r="K97" s="18" t="inlineStr"/>
      <c r="L97" s="18" t="inlineStr"/>
      <c r="M97" s="18" t="inlineStr"/>
      <c r="N97" s="18" t="inlineStr"/>
      <c r="O97" s="7">
        <f>IF(OR(G97&lt;&gt;"",H97&lt;&gt;""),1,0) + IF(OR(I97&lt;&gt;"",J97&lt;&gt;""),1,0) + IF(OR(K97&lt;&gt;"",L97&lt;&gt;""),1,0) + IF(OR(M97&lt;&gt;"",N97&lt;&gt;""),1,0)</f>
        <v/>
      </c>
      <c r="P97" s="5">
        <f>IF(O97=4,"✅ Đủ 4 nhiệm vụ",IF(O97&gt;0,"⏳ Đạt "&amp;O97&amp;"/4","❌ Chưa nộp"))</f>
        <v/>
      </c>
    </row>
    <row r="98">
      <c r="A98" s="5" t="n">
        <v>94</v>
      </c>
      <c r="B98" s="5" t="inlineStr">
        <is>
          <t>Tuần 2</t>
        </is>
      </c>
      <c r="C98" s="5" t="inlineStr">
        <is>
          <t>Thứ 6</t>
        </is>
      </c>
      <c r="D98" s="5" t="inlineStr">
        <is>
          <t>18/09/2026</t>
        </is>
      </c>
      <c r="E98" s="5" t="inlineStr">
        <is>
          <t>Ngày 11</t>
        </is>
      </c>
      <c r="F98" s="6" t="inlineStr">
        <is>
          <t>Nhung Hoàng</t>
        </is>
      </c>
      <c r="G98" s="18" t="inlineStr"/>
      <c r="H98" s="18" t="inlineStr"/>
      <c r="I98" s="18" t="inlineStr"/>
      <c r="J98" s="18" t="inlineStr"/>
      <c r="K98" s="18" t="inlineStr"/>
      <c r="L98" s="18" t="inlineStr"/>
      <c r="M98" s="18" t="inlineStr"/>
      <c r="N98" s="18" t="inlineStr"/>
      <c r="O98" s="7">
        <f>IF(OR(G98&lt;&gt;"",H98&lt;&gt;""),1,0) + IF(OR(I98&lt;&gt;"",J98&lt;&gt;""),1,0) + IF(OR(K98&lt;&gt;"",L98&lt;&gt;""),1,0) + IF(OR(M98&lt;&gt;"",N98&lt;&gt;""),1,0)</f>
        <v/>
      </c>
      <c r="P98" s="5">
        <f>IF(O98=4,"✅ Đủ 4 nhiệm vụ",IF(O98&gt;0,"⏳ Đạt "&amp;O98&amp;"/4","❌ Chưa nộp"))</f>
        <v/>
      </c>
    </row>
    <row r="99">
      <c r="A99" s="5" t="n">
        <v>95</v>
      </c>
      <c r="B99" s="5" t="inlineStr">
        <is>
          <t>Tuần 2</t>
        </is>
      </c>
      <c r="C99" s="5" t="inlineStr">
        <is>
          <t>Thứ 6</t>
        </is>
      </c>
      <c r="D99" s="5" t="inlineStr">
        <is>
          <t>18/09/2026</t>
        </is>
      </c>
      <c r="E99" s="5" t="inlineStr">
        <is>
          <t>Ngày 11</t>
        </is>
      </c>
      <c r="F99" s="6" t="inlineStr">
        <is>
          <t>Quỳnh Thu</t>
        </is>
      </c>
      <c r="G99" s="18" t="inlineStr"/>
      <c r="H99" s="18" t="inlineStr"/>
      <c r="I99" s="18" t="inlineStr"/>
      <c r="J99" s="18" t="inlineStr"/>
      <c r="K99" s="18" t="inlineStr"/>
      <c r="L99" s="18" t="inlineStr"/>
      <c r="M99" s="18" t="inlineStr"/>
      <c r="N99" s="18" t="inlineStr"/>
      <c r="O99" s="7">
        <f>IF(OR(G99&lt;&gt;"",H99&lt;&gt;""),1,0) + IF(OR(I99&lt;&gt;"",J99&lt;&gt;""),1,0) + IF(OR(K99&lt;&gt;"",L99&lt;&gt;""),1,0) + IF(OR(M99&lt;&gt;"",N99&lt;&gt;""),1,0)</f>
        <v/>
      </c>
      <c r="P99" s="5">
        <f>IF(O99=4,"✅ Đủ 4 nhiệm vụ",IF(O99&gt;0,"⏳ Đạt "&amp;O99&amp;"/4","❌ Chưa nộp"))</f>
        <v/>
      </c>
    </row>
    <row r="100">
      <c r="A100" s="5" t="n">
        <v>96</v>
      </c>
      <c r="B100" s="5" t="inlineStr">
        <is>
          <t>Tuần 2</t>
        </is>
      </c>
      <c r="C100" s="5" t="inlineStr">
        <is>
          <t>Thứ 6</t>
        </is>
      </c>
      <c r="D100" s="5" t="inlineStr">
        <is>
          <t>18/09/2026</t>
        </is>
      </c>
      <c r="E100" s="5" t="inlineStr">
        <is>
          <t>Ngày 11</t>
        </is>
      </c>
      <c r="F100" s="6" t="inlineStr">
        <is>
          <t>TanAnh Pham</t>
        </is>
      </c>
      <c r="G100" s="18" t="inlineStr"/>
      <c r="H100" s="18" t="inlineStr"/>
      <c r="I100" s="18" t="inlineStr"/>
      <c r="J100" s="18" t="inlineStr"/>
      <c r="K100" s="18" t="inlineStr"/>
      <c r="L100" s="18" t="inlineStr"/>
      <c r="M100" s="18" t="inlineStr"/>
      <c r="N100" s="18" t="inlineStr"/>
      <c r="O100" s="7">
        <f>IF(OR(G100&lt;&gt;"",H100&lt;&gt;""),1,0) + IF(OR(I100&lt;&gt;"",J100&lt;&gt;""),1,0) + IF(OR(K100&lt;&gt;"",L100&lt;&gt;""),1,0) + IF(OR(M100&lt;&gt;"",N100&lt;&gt;""),1,0)</f>
        <v/>
      </c>
      <c r="P100" s="5">
        <f>IF(O100=4,"✅ Đủ 4 nhiệm vụ",IF(O100&gt;0,"⏳ Đạt "&amp;O100&amp;"/4","❌ Chưa nộp"))</f>
        <v/>
      </c>
    </row>
    <row r="101">
      <c r="A101" s="5" t="n">
        <v>97</v>
      </c>
      <c r="B101" s="5" t="inlineStr">
        <is>
          <t>Tuần 2</t>
        </is>
      </c>
      <c r="C101" s="5" t="inlineStr">
        <is>
          <t>Thứ 6</t>
        </is>
      </c>
      <c r="D101" s="5" t="inlineStr">
        <is>
          <t>18/09/2026</t>
        </is>
      </c>
      <c r="E101" s="5" t="inlineStr">
        <is>
          <t>Ngày 11</t>
        </is>
      </c>
      <c r="F101" s="6" t="inlineStr">
        <is>
          <t>Thảo Collins Edu</t>
        </is>
      </c>
      <c r="G101" s="18" t="inlineStr"/>
      <c r="H101" s="18" t="inlineStr"/>
      <c r="I101" s="18" t="inlineStr"/>
      <c r="J101" s="18" t="inlineStr"/>
      <c r="K101" s="18" t="inlineStr"/>
      <c r="L101" s="18" t="inlineStr"/>
      <c r="M101" s="18" t="inlineStr"/>
      <c r="N101" s="18" t="inlineStr"/>
      <c r="O101" s="7">
        <f>IF(OR(G101&lt;&gt;"",H101&lt;&gt;""),1,0) + IF(OR(I101&lt;&gt;"",J101&lt;&gt;""),1,0) + IF(OR(K101&lt;&gt;"",L101&lt;&gt;""),1,0) + IF(OR(M101&lt;&gt;"",N101&lt;&gt;""),1,0)</f>
        <v/>
      </c>
      <c r="P101" s="5">
        <f>IF(O101=4,"✅ Đủ 4 nhiệm vụ",IF(O101&gt;0,"⏳ Đạt "&amp;O101&amp;"/4","❌ Chưa nộp"))</f>
        <v/>
      </c>
    </row>
    <row r="102">
      <c r="A102" s="5" t="n">
        <v>98</v>
      </c>
      <c r="B102" s="5" t="inlineStr">
        <is>
          <t>Tuần 2</t>
        </is>
      </c>
      <c r="C102" s="5" t="inlineStr">
        <is>
          <t>Thứ 6</t>
        </is>
      </c>
      <c r="D102" s="5" t="inlineStr">
        <is>
          <t>18/09/2026</t>
        </is>
      </c>
      <c r="E102" s="5" t="inlineStr">
        <is>
          <t>Ngày 11</t>
        </is>
      </c>
      <c r="F102" s="6" t="inlineStr">
        <is>
          <t>Trần Quế Lam</t>
        </is>
      </c>
      <c r="G102" s="18" t="inlineStr"/>
      <c r="H102" s="18" t="inlineStr"/>
      <c r="I102" s="18" t="inlineStr"/>
      <c r="J102" s="18" t="inlineStr"/>
      <c r="K102" s="18" t="inlineStr"/>
      <c r="L102" s="18" t="inlineStr"/>
      <c r="M102" s="18" t="inlineStr"/>
      <c r="N102" s="18" t="inlineStr"/>
      <c r="O102" s="7">
        <f>IF(OR(G102&lt;&gt;"",H102&lt;&gt;""),1,0) + IF(OR(I102&lt;&gt;"",J102&lt;&gt;""),1,0) + IF(OR(K102&lt;&gt;"",L102&lt;&gt;""),1,0) + IF(OR(M102&lt;&gt;"",N102&lt;&gt;""),1,0)</f>
        <v/>
      </c>
      <c r="P102" s="5">
        <f>IF(O102=4,"✅ Đủ 4 nhiệm vụ",IF(O102&gt;0,"⏳ Đạt "&amp;O102&amp;"/4","❌ Chưa nộp"))</f>
        <v/>
      </c>
    </row>
    <row r="103">
      <c r="A103" s="5" t="n">
        <v>99</v>
      </c>
      <c r="B103" s="5" t="inlineStr">
        <is>
          <t>Tuần 2</t>
        </is>
      </c>
      <c r="C103" s="5" t="inlineStr">
        <is>
          <t>Thứ 6</t>
        </is>
      </c>
      <c r="D103" s="5" t="inlineStr">
        <is>
          <t>18/09/2026</t>
        </is>
      </c>
      <c r="E103" s="5" t="inlineStr">
        <is>
          <t>Ngày 11</t>
        </is>
      </c>
      <c r="F103" s="6" t="inlineStr">
        <is>
          <t>Phạm Huyền</t>
        </is>
      </c>
      <c r="G103" s="18" t="inlineStr"/>
      <c r="H103" s="18" t="inlineStr"/>
      <c r="I103" s="18" t="inlineStr"/>
      <c r="J103" s="18" t="inlineStr"/>
      <c r="K103" s="18" t="inlineStr"/>
      <c r="L103" s="18" t="inlineStr"/>
      <c r="M103" s="18" t="inlineStr"/>
      <c r="N103" s="18" t="inlineStr"/>
      <c r="O103" s="7">
        <f>IF(OR(G103&lt;&gt;"",H103&lt;&gt;""),1,0) + IF(OR(I103&lt;&gt;"",J103&lt;&gt;""),1,0) + IF(OR(K103&lt;&gt;"",L103&lt;&gt;""),1,0) + IF(OR(M103&lt;&gt;"",N103&lt;&gt;""),1,0)</f>
        <v/>
      </c>
      <c r="P103" s="5">
        <f>IF(O103=4,"✅ Đủ 4 nhiệm vụ",IF(O103&gt;0,"⏳ Đạt "&amp;O103&amp;"/4","❌ Chưa nộp"))</f>
        <v/>
      </c>
    </row>
    <row r="104">
      <c r="A104" s="9" t="n">
        <v>100</v>
      </c>
      <c r="B104" s="9" t="inlineStr">
        <is>
          <t>Tuần 2</t>
        </is>
      </c>
      <c r="C104" s="9" t="inlineStr">
        <is>
          <t>Thứ 7</t>
        </is>
      </c>
      <c r="D104" s="9" t="inlineStr">
        <is>
          <t>19/09/2026</t>
        </is>
      </c>
      <c r="E104" s="9" t="inlineStr">
        <is>
          <t>Ngày 12</t>
        </is>
      </c>
      <c r="F104" s="10" t="inlineStr">
        <is>
          <t>Nancy</t>
        </is>
      </c>
      <c r="G104" s="19" t="inlineStr"/>
      <c r="H104" s="19" t="inlineStr"/>
      <c r="I104" s="19" t="inlineStr"/>
      <c r="J104" s="19" t="inlineStr"/>
      <c r="K104" s="19" t="inlineStr"/>
      <c r="L104" s="19" t="inlineStr"/>
      <c r="M104" s="19" t="inlineStr"/>
      <c r="N104" s="19" t="inlineStr"/>
      <c r="O104" s="11">
        <f>IF(OR(G104&lt;&gt;"",H104&lt;&gt;""),1,0) + IF(OR(I104&lt;&gt;"",J104&lt;&gt;""),1,0) + IF(OR(K104&lt;&gt;"",L104&lt;&gt;""),1,0) + IF(OR(M104&lt;&gt;"",N104&lt;&gt;""),1,0)</f>
        <v/>
      </c>
      <c r="P104" s="9">
        <f>IF(O104=4,"✅ Đủ 4 nhiệm vụ",IF(O104&gt;0,"⏳ Đạt "&amp;O104&amp;"/4","❌ Chưa nộp"))</f>
        <v/>
      </c>
    </row>
    <row r="105">
      <c r="A105" s="9" t="n">
        <v>101</v>
      </c>
      <c r="B105" s="9" t="inlineStr">
        <is>
          <t>Tuần 2</t>
        </is>
      </c>
      <c r="C105" s="9" t="inlineStr">
        <is>
          <t>Thứ 7</t>
        </is>
      </c>
      <c r="D105" s="9" t="inlineStr">
        <is>
          <t>19/09/2026</t>
        </is>
      </c>
      <c r="E105" s="9" t="inlineStr">
        <is>
          <t>Ngày 12</t>
        </is>
      </c>
      <c r="F105" s="10" t="inlineStr">
        <is>
          <t>Hoài Học Mãi</t>
        </is>
      </c>
      <c r="G105" s="19" t="inlineStr"/>
      <c r="H105" s="19" t="inlineStr"/>
      <c r="I105" s="19" t="inlineStr"/>
      <c r="J105" s="19" t="inlineStr"/>
      <c r="K105" s="19" t="inlineStr"/>
      <c r="L105" s="19" t="inlineStr"/>
      <c r="M105" s="19" t="inlineStr"/>
      <c r="N105" s="19" t="inlineStr"/>
      <c r="O105" s="11">
        <f>IF(OR(G105&lt;&gt;"",H105&lt;&gt;""),1,0) + IF(OR(I105&lt;&gt;"",J105&lt;&gt;""),1,0) + IF(OR(K105&lt;&gt;"",L105&lt;&gt;""),1,0) + IF(OR(M105&lt;&gt;"",N105&lt;&gt;""),1,0)</f>
        <v/>
      </c>
      <c r="P105" s="9">
        <f>IF(O105=4,"✅ Đủ 4 nhiệm vụ",IF(O105&gt;0,"⏳ Đạt "&amp;O105&amp;"/4","❌ Chưa nộp"))</f>
        <v/>
      </c>
    </row>
    <row r="106">
      <c r="A106" s="9" t="n">
        <v>102</v>
      </c>
      <c r="B106" s="9" t="inlineStr">
        <is>
          <t>Tuần 2</t>
        </is>
      </c>
      <c r="C106" s="9" t="inlineStr">
        <is>
          <t>Thứ 7</t>
        </is>
      </c>
      <c r="D106" s="9" t="inlineStr">
        <is>
          <t>19/09/2026</t>
        </is>
      </c>
      <c r="E106" s="9" t="inlineStr">
        <is>
          <t>Ngày 12</t>
        </is>
      </c>
      <c r="F106" s="10" t="inlineStr">
        <is>
          <t>Lambee</t>
        </is>
      </c>
      <c r="G106" s="19" t="inlineStr"/>
      <c r="H106" s="19" t="inlineStr"/>
      <c r="I106" s="19" t="inlineStr"/>
      <c r="J106" s="19" t="inlineStr"/>
      <c r="K106" s="19" t="inlineStr"/>
      <c r="L106" s="19" t="inlineStr"/>
      <c r="M106" s="19" t="inlineStr"/>
      <c r="N106" s="19" t="inlineStr"/>
      <c r="O106" s="11">
        <f>IF(OR(G106&lt;&gt;"",H106&lt;&gt;""),1,0) + IF(OR(I106&lt;&gt;"",J106&lt;&gt;""),1,0) + IF(OR(K106&lt;&gt;"",L106&lt;&gt;""),1,0) + IF(OR(M106&lt;&gt;"",N106&lt;&gt;""),1,0)</f>
        <v/>
      </c>
      <c r="P106" s="9">
        <f>IF(O106=4,"✅ Đủ 4 nhiệm vụ",IF(O106&gt;0,"⏳ Đạt "&amp;O106&amp;"/4","❌ Chưa nộp"))</f>
        <v/>
      </c>
    </row>
    <row r="107">
      <c r="A107" s="9" t="n">
        <v>103</v>
      </c>
      <c r="B107" s="9" t="inlineStr">
        <is>
          <t>Tuần 2</t>
        </is>
      </c>
      <c r="C107" s="9" t="inlineStr">
        <is>
          <t>Thứ 7</t>
        </is>
      </c>
      <c r="D107" s="9" t="inlineStr">
        <is>
          <t>19/09/2026</t>
        </is>
      </c>
      <c r="E107" s="9" t="inlineStr">
        <is>
          <t>Ngày 12</t>
        </is>
      </c>
      <c r="F107" s="10" t="inlineStr">
        <is>
          <t>Nhung Hoàng</t>
        </is>
      </c>
      <c r="G107" s="19" t="inlineStr"/>
      <c r="H107" s="19" t="inlineStr"/>
      <c r="I107" s="19" t="inlineStr"/>
      <c r="J107" s="19" t="inlineStr"/>
      <c r="K107" s="19" t="inlineStr"/>
      <c r="L107" s="19" t="inlineStr"/>
      <c r="M107" s="19" t="inlineStr"/>
      <c r="N107" s="19" t="inlineStr"/>
      <c r="O107" s="11">
        <f>IF(OR(G107&lt;&gt;"",H107&lt;&gt;""),1,0) + IF(OR(I107&lt;&gt;"",J107&lt;&gt;""),1,0) + IF(OR(K107&lt;&gt;"",L107&lt;&gt;""),1,0) + IF(OR(M107&lt;&gt;"",N107&lt;&gt;""),1,0)</f>
        <v/>
      </c>
      <c r="P107" s="9">
        <f>IF(O107=4,"✅ Đủ 4 nhiệm vụ",IF(O107&gt;0,"⏳ Đạt "&amp;O107&amp;"/4","❌ Chưa nộp"))</f>
        <v/>
      </c>
    </row>
    <row r="108">
      <c r="A108" s="9" t="n">
        <v>104</v>
      </c>
      <c r="B108" s="9" t="inlineStr">
        <is>
          <t>Tuần 2</t>
        </is>
      </c>
      <c r="C108" s="9" t="inlineStr">
        <is>
          <t>Thứ 7</t>
        </is>
      </c>
      <c r="D108" s="9" t="inlineStr">
        <is>
          <t>19/09/2026</t>
        </is>
      </c>
      <c r="E108" s="9" t="inlineStr">
        <is>
          <t>Ngày 12</t>
        </is>
      </c>
      <c r="F108" s="10" t="inlineStr">
        <is>
          <t>Quỳnh Thu</t>
        </is>
      </c>
      <c r="G108" s="19" t="inlineStr"/>
      <c r="H108" s="19" t="inlineStr"/>
      <c r="I108" s="19" t="inlineStr"/>
      <c r="J108" s="19" t="inlineStr"/>
      <c r="K108" s="19" t="inlineStr"/>
      <c r="L108" s="19" t="inlineStr"/>
      <c r="M108" s="19" t="inlineStr"/>
      <c r="N108" s="19" t="inlineStr"/>
      <c r="O108" s="11">
        <f>IF(OR(G108&lt;&gt;"",H108&lt;&gt;""),1,0) + IF(OR(I108&lt;&gt;"",J108&lt;&gt;""),1,0) + IF(OR(K108&lt;&gt;"",L108&lt;&gt;""),1,0) + IF(OR(M108&lt;&gt;"",N108&lt;&gt;""),1,0)</f>
        <v/>
      </c>
      <c r="P108" s="9">
        <f>IF(O108=4,"✅ Đủ 4 nhiệm vụ",IF(O108&gt;0,"⏳ Đạt "&amp;O108&amp;"/4","❌ Chưa nộp"))</f>
        <v/>
      </c>
    </row>
    <row r="109">
      <c r="A109" s="9" t="n">
        <v>105</v>
      </c>
      <c r="B109" s="9" t="inlineStr">
        <is>
          <t>Tuần 2</t>
        </is>
      </c>
      <c r="C109" s="9" t="inlineStr">
        <is>
          <t>Thứ 7</t>
        </is>
      </c>
      <c r="D109" s="9" t="inlineStr">
        <is>
          <t>19/09/2026</t>
        </is>
      </c>
      <c r="E109" s="9" t="inlineStr">
        <is>
          <t>Ngày 12</t>
        </is>
      </c>
      <c r="F109" s="10" t="inlineStr">
        <is>
          <t>TanAnh Pham</t>
        </is>
      </c>
      <c r="G109" s="19" t="inlineStr"/>
      <c r="H109" s="19" t="inlineStr"/>
      <c r="I109" s="19" t="inlineStr"/>
      <c r="J109" s="19" t="inlineStr"/>
      <c r="K109" s="19" t="inlineStr"/>
      <c r="L109" s="19" t="inlineStr"/>
      <c r="M109" s="19" t="inlineStr"/>
      <c r="N109" s="19" t="inlineStr"/>
      <c r="O109" s="11">
        <f>IF(OR(G109&lt;&gt;"",H109&lt;&gt;""),1,0) + IF(OR(I109&lt;&gt;"",J109&lt;&gt;""),1,0) + IF(OR(K109&lt;&gt;"",L109&lt;&gt;""),1,0) + IF(OR(M109&lt;&gt;"",N109&lt;&gt;""),1,0)</f>
        <v/>
      </c>
      <c r="P109" s="9">
        <f>IF(O109=4,"✅ Đủ 4 nhiệm vụ",IF(O109&gt;0,"⏳ Đạt "&amp;O109&amp;"/4","❌ Chưa nộp"))</f>
        <v/>
      </c>
    </row>
    <row r="110">
      <c r="A110" s="9" t="n">
        <v>106</v>
      </c>
      <c r="B110" s="9" t="inlineStr">
        <is>
          <t>Tuần 2</t>
        </is>
      </c>
      <c r="C110" s="9" t="inlineStr">
        <is>
          <t>Thứ 7</t>
        </is>
      </c>
      <c r="D110" s="9" t="inlineStr">
        <is>
          <t>19/09/2026</t>
        </is>
      </c>
      <c r="E110" s="9" t="inlineStr">
        <is>
          <t>Ngày 12</t>
        </is>
      </c>
      <c r="F110" s="10" t="inlineStr">
        <is>
          <t>Thảo Collins Edu</t>
        </is>
      </c>
      <c r="G110" s="19" t="inlineStr"/>
      <c r="H110" s="19" t="inlineStr"/>
      <c r="I110" s="19" t="inlineStr"/>
      <c r="J110" s="19" t="inlineStr"/>
      <c r="K110" s="19" t="inlineStr"/>
      <c r="L110" s="19" t="inlineStr"/>
      <c r="M110" s="19" t="inlineStr"/>
      <c r="N110" s="19" t="inlineStr"/>
      <c r="O110" s="11">
        <f>IF(OR(G110&lt;&gt;"",H110&lt;&gt;""),1,0) + IF(OR(I110&lt;&gt;"",J110&lt;&gt;""),1,0) + IF(OR(K110&lt;&gt;"",L110&lt;&gt;""),1,0) + IF(OR(M110&lt;&gt;"",N110&lt;&gt;""),1,0)</f>
        <v/>
      </c>
      <c r="P110" s="9">
        <f>IF(O110=4,"✅ Đủ 4 nhiệm vụ",IF(O110&gt;0,"⏳ Đạt "&amp;O110&amp;"/4","❌ Chưa nộp"))</f>
        <v/>
      </c>
    </row>
    <row r="111">
      <c r="A111" s="9" t="n">
        <v>107</v>
      </c>
      <c r="B111" s="9" t="inlineStr">
        <is>
          <t>Tuần 2</t>
        </is>
      </c>
      <c r="C111" s="9" t="inlineStr">
        <is>
          <t>Thứ 7</t>
        </is>
      </c>
      <c r="D111" s="9" t="inlineStr">
        <is>
          <t>19/09/2026</t>
        </is>
      </c>
      <c r="E111" s="9" t="inlineStr">
        <is>
          <t>Ngày 12</t>
        </is>
      </c>
      <c r="F111" s="10" t="inlineStr">
        <is>
          <t>Trần Quế Lam</t>
        </is>
      </c>
      <c r="G111" s="19" t="inlineStr"/>
      <c r="H111" s="19" t="inlineStr"/>
      <c r="I111" s="19" t="inlineStr"/>
      <c r="J111" s="19" t="inlineStr"/>
      <c r="K111" s="19" t="inlineStr"/>
      <c r="L111" s="19" t="inlineStr"/>
      <c r="M111" s="19" t="inlineStr"/>
      <c r="N111" s="19" t="inlineStr"/>
      <c r="O111" s="11">
        <f>IF(OR(G111&lt;&gt;"",H111&lt;&gt;""),1,0) + IF(OR(I111&lt;&gt;"",J111&lt;&gt;""),1,0) + IF(OR(K111&lt;&gt;"",L111&lt;&gt;""),1,0) + IF(OR(M111&lt;&gt;"",N111&lt;&gt;""),1,0)</f>
        <v/>
      </c>
      <c r="P111" s="9">
        <f>IF(O111=4,"✅ Đủ 4 nhiệm vụ",IF(O111&gt;0,"⏳ Đạt "&amp;O111&amp;"/4","❌ Chưa nộp"))</f>
        <v/>
      </c>
    </row>
    <row r="112">
      <c r="A112" s="9" t="n">
        <v>108</v>
      </c>
      <c r="B112" s="9" t="inlineStr">
        <is>
          <t>Tuần 2</t>
        </is>
      </c>
      <c r="C112" s="9" t="inlineStr">
        <is>
          <t>Thứ 7</t>
        </is>
      </c>
      <c r="D112" s="9" t="inlineStr">
        <is>
          <t>19/09/2026</t>
        </is>
      </c>
      <c r="E112" s="9" t="inlineStr">
        <is>
          <t>Ngày 12</t>
        </is>
      </c>
      <c r="F112" s="10" t="inlineStr">
        <is>
          <t>Phạm Huyền</t>
        </is>
      </c>
      <c r="G112" s="19" t="inlineStr"/>
      <c r="H112" s="19" t="inlineStr"/>
      <c r="I112" s="19" t="inlineStr"/>
      <c r="J112" s="19" t="inlineStr"/>
      <c r="K112" s="19" t="inlineStr"/>
      <c r="L112" s="19" t="inlineStr"/>
      <c r="M112" s="19" t="inlineStr"/>
      <c r="N112" s="19" t="inlineStr"/>
      <c r="O112" s="11">
        <f>IF(OR(G112&lt;&gt;"",H112&lt;&gt;""),1,0) + IF(OR(I112&lt;&gt;"",J112&lt;&gt;""),1,0) + IF(OR(K112&lt;&gt;"",L112&lt;&gt;""),1,0) + IF(OR(M112&lt;&gt;"",N112&lt;&gt;""),1,0)</f>
        <v/>
      </c>
      <c r="P112" s="9">
        <f>IF(O112=4,"✅ Đủ 4 nhiệm vụ",IF(O112&gt;0,"⏳ Đạt "&amp;O112&amp;"/4","❌ Chưa nộp"))</f>
        <v/>
      </c>
    </row>
    <row r="113">
      <c r="A113" s="5" t="n">
        <v>109</v>
      </c>
      <c r="B113" s="5" t="inlineStr">
        <is>
          <t>Tuần 2</t>
        </is>
      </c>
      <c r="C113" s="5" t="inlineStr">
        <is>
          <t>Chủ Nhật</t>
        </is>
      </c>
      <c r="D113" s="5" t="inlineStr">
        <is>
          <t>20/09/2026</t>
        </is>
      </c>
      <c r="E113" s="5" t="inlineStr">
        <is>
          <t>Ngày 13</t>
        </is>
      </c>
      <c r="F113" s="6" t="inlineStr">
        <is>
          <t>Nancy</t>
        </is>
      </c>
      <c r="G113" s="18" t="inlineStr"/>
      <c r="H113" s="18" t="inlineStr"/>
      <c r="I113" s="18" t="inlineStr"/>
      <c r="J113" s="18" t="inlineStr"/>
      <c r="K113" s="18" t="inlineStr"/>
      <c r="L113" s="18" t="inlineStr"/>
      <c r="M113" s="18" t="inlineStr"/>
      <c r="N113" s="18" t="inlineStr"/>
      <c r="O113" s="7">
        <f>IF(OR(G113&lt;&gt;"",H113&lt;&gt;""),1,0) + IF(OR(I113&lt;&gt;"",J113&lt;&gt;""),1,0) + IF(OR(K113&lt;&gt;"",L113&lt;&gt;""),1,0) + IF(OR(M113&lt;&gt;"",N113&lt;&gt;""),1,0)</f>
        <v/>
      </c>
      <c r="P113" s="5">
        <f>IF(O113=4,"✅ Đủ 4 nhiệm vụ",IF(O113&gt;0,"⏳ Đạt "&amp;O113&amp;"/4","❌ Chưa nộp"))</f>
        <v/>
      </c>
    </row>
    <row r="114">
      <c r="A114" s="5" t="n">
        <v>110</v>
      </c>
      <c r="B114" s="5" t="inlineStr">
        <is>
          <t>Tuần 2</t>
        </is>
      </c>
      <c r="C114" s="5" t="inlineStr">
        <is>
          <t>Chủ Nhật</t>
        </is>
      </c>
      <c r="D114" s="5" t="inlineStr">
        <is>
          <t>20/09/2026</t>
        </is>
      </c>
      <c r="E114" s="5" t="inlineStr">
        <is>
          <t>Ngày 13</t>
        </is>
      </c>
      <c r="F114" s="6" t="inlineStr">
        <is>
          <t>Hoài Học Mãi</t>
        </is>
      </c>
      <c r="G114" s="18" t="inlineStr"/>
      <c r="H114" s="18" t="inlineStr"/>
      <c r="I114" s="18" t="inlineStr"/>
      <c r="J114" s="18" t="inlineStr"/>
      <c r="K114" s="18" t="inlineStr"/>
      <c r="L114" s="18" t="inlineStr"/>
      <c r="M114" s="18" t="inlineStr"/>
      <c r="N114" s="18" t="inlineStr"/>
      <c r="O114" s="7">
        <f>IF(OR(G114&lt;&gt;"",H114&lt;&gt;""),1,0) + IF(OR(I114&lt;&gt;"",J114&lt;&gt;""),1,0) + IF(OR(K114&lt;&gt;"",L114&lt;&gt;""),1,0) + IF(OR(M114&lt;&gt;"",N114&lt;&gt;""),1,0)</f>
        <v/>
      </c>
      <c r="P114" s="5">
        <f>IF(O114=4,"✅ Đủ 4 nhiệm vụ",IF(O114&gt;0,"⏳ Đạt "&amp;O114&amp;"/4","❌ Chưa nộp"))</f>
        <v/>
      </c>
    </row>
    <row r="115">
      <c r="A115" s="5" t="n">
        <v>111</v>
      </c>
      <c r="B115" s="5" t="inlineStr">
        <is>
          <t>Tuần 2</t>
        </is>
      </c>
      <c r="C115" s="5" t="inlineStr">
        <is>
          <t>Chủ Nhật</t>
        </is>
      </c>
      <c r="D115" s="5" t="inlineStr">
        <is>
          <t>20/09/2026</t>
        </is>
      </c>
      <c r="E115" s="5" t="inlineStr">
        <is>
          <t>Ngày 13</t>
        </is>
      </c>
      <c r="F115" s="6" t="inlineStr">
        <is>
          <t>Lambee</t>
        </is>
      </c>
      <c r="G115" s="18" t="inlineStr"/>
      <c r="H115" s="18" t="inlineStr"/>
      <c r="I115" s="18" t="inlineStr"/>
      <c r="J115" s="18" t="inlineStr"/>
      <c r="K115" s="18" t="inlineStr"/>
      <c r="L115" s="18" t="inlineStr"/>
      <c r="M115" s="18" t="inlineStr"/>
      <c r="N115" s="18" t="inlineStr"/>
      <c r="O115" s="7">
        <f>IF(OR(G115&lt;&gt;"",H115&lt;&gt;""),1,0) + IF(OR(I115&lt;&gt;"",J115&lt;&gt;""),1,0) + IF(OR(K115&lt;&gt;"",L115&lt;&gt;""),1,0) + IF(OR(M115&lt;&gt;"",N115&lt;&gt;""),1,0)</f>
        <v/>
      </c>
      <c r="P115" s="5">
        <f>IF(O115=4,"✅ Đủ 4 nhiệm vụ",IF(O115&gt;0,"⏳ Đạt "&amp;O115&amp;"/4","❌ Chưa nộp"))</f>
        <v/>
      </c>
    </row>
    <row r="116">
      <c r="A116" s="5" t="n">
        <v>112</v>
      </c>
      <c r="B116" s="5" t="inlineStr">
        <is>
          <t>Tuần 2</t>
        </is>
      </c>
      <c r="C116" s="5" t="inlineStr">
        <is>
          <t>Chủ Nhật</t>
        </is>
      </c>
      <c r="D116" s="5" t="inlineStr">
        <is>
          <t>20/09/2026</t>
        </is>
      </c>
      <c r="E116" s="5" t="inlineStr">
        <is>
          <t>Ngày 13</t>
        </is>
      </c>
      <c r="F116" s="6" t="inlineStr">
        <is>
          <t>Nhung Hoàng</t>
        </is>
      </c>
      <c r="G116" s="18" t="inlineStr"/>
      <c r="H116" s="18" t="inlineStr"/>
      <c r="I116" s="18" t="inlineStr"/>
      <c r="J116" s="18" t="inlineStr"/>
      <c r="K116" s="18" t="inlineStr"/>
      <c r="L116" s="18" t="inlineStr"/>
      <c r="M116" s="18" t="inlineStr"/>
      <c r="N116" s="18" t="inlineStr"/>
      <c r="O116" s="7">
        <f>IF(OR(G116&lt;&gt;"",H116&lt;&gt;""),1,0) + IF(OR(I116&lt;&gt;"",J116&lt;&gt;""),1,0) + IF(OR(K116&lt;&gt;"",L116&lt;&gt;""),1,0) + IF(OR(M116&lt;&gt;"",N116&lt;&gt;""),1,0)</f>
        <v/>
      </c>
      <c r="P116" s="5">
        <f>IF(O116=4,"✅ Đủ 4 nhiệm vụ",IF(O116&gt;0,"⏳ Đạt "&amp;O116&amp;"/4","❌ Chưa nộp"))</f>
        <v/>
      </c>
    </row>
    <row r="117">
      <c r="A117" s="5" t="n">
        <v>113</v>
      </c>
      <c r="B117" s="5" t="inlineStr">
        <is>
          <t>Tuần 2</t>
        </is>
      </c>
      <c r="C117" s="5" t="inlineStr">
        <is>
          <t>Chủ Nhật</t>
        </is>
      </c>
      <c r="D117" s="5" t="inlineStr">
        <is>
          <t>20/09/2026</t>
        </is>
      </c>
      <c r="E117" s="5" t="inlineStr">
        <is>
          <t>Ngày 13</t>
        </is>
      </c>
      <c r="F117" s="6" t="inlineStr">
        <is>
          <t>Quỳnh Thu</t>
        </is>
      </c>
      <c r="G117" s="18" t="inlineStr"/>
      <c r="H117" s="18" t="inlineStr"/>
      <c r="I117" s="18" t="inlineStr"/>
      <c r="J117" s="18" t="inlineStr"/>
      <c r="K117" s="18" t="inlineStr"/>
      <c r="L117" s="18" t="inlineStr"/>
      <c r="M117" s="18" t="inlineStr"/>
      <c r="N117" s="18" t="inlineStr"/>
      <c r="O117" s="7">
        <f>IF(OR(G117&lt;&gt;"",H117&lt;&gt;""),1,0) + IF(OR(I117&lt;&gt;"",J117&lt;&gt;""),1,0) + IF(OR(K117&lt;&gt;"",L117&lt;&gt;""),1,0) + IF(OR(M117&lt;&gt;"",N117&lt;&gt;""),1,0)</f>
        <v/>
      </c>
      <c r="P117" s="5">
        <f>IF(O117=4,"✅ Đủ 4 nhiệm vụ",IF(O117&gt;0,"⏳ Đạt "&amp;O117&amp;"/4","❌ Chưa nộp"))</f>
        <v/>
      </c>
    </row>
    <row r="118">
      <c r="A118" s="5" t="n">
        <v>114</v>
      </c>
      <c r="B118" s="5" t="inlineStr">
        <is>
          <t>Tuần 2</t>
        </is>
      </c>
      <c r="C118" s="5" t="inlineStr">
        <is>
          <t>Chủ Nhật</t>
        </is>
      </c>
      <c r="D118" s="5" t="inlineStr">
        <is>
          <t>20/09/2026</t>
        </is>
      </c>
      <c r="E118" s="5" t="inlineStr">
        <is>
          <t>Ngày 13</t>
        </is>
      </c>
      <c r="F118" s="6" t="inlineStr">
        <is>
          <t>TanAnh Pham</t>
        </is>
      </c>
      <c r="G118" s="18" t="inlineStr"/>
      <c r="H118" s="18" t="inlineStr"/>
      <c r="I118" s="18" t="inlineStr"/>
      <c r="J118" s="18" t="inlineStr"/>
      <c r="K118" s="18" t="inlineStr"/>
      <c r="L118" s="18" t="inlineStr"/>
      <c r="M118" s="18" t="inlineStr"/>
      <c r="N118" s="18" t="inlineStr"/>
      <c r="O118" s="7">
        <f>IF(OR(G118&lt;&gt;"",H118&lt;&gt;""),1,0) + IF(OR(I118&lt;&gt;"",J118&lt;&gt;""),1,0) + IF(OR(K118&lt;&gt;"",L118&lt;&gt;""),1,0) + IF(OR(M118&lt;&gt;"",N118&lt;&gt;""),1,0)</f>
        <v/>
      </c>
      <c r="P118" s="5">
        <f>IF(O118=4,"✅ Đủ 4 nhiệm vụ",IF(O118&gt;0,"⏳ Đạt "&amp;O118&amp;"/4","❌ Chưa nộp"))</f>
        <v/>
      </c>
    </row>
    <row r="119">
      <c r="A119" s="5" t="n">
        <v>115</v>
      </c>
      <c r="B119" s="5" t="inlineStr">
        <is>
          <t>Tuần 2</t>
        </is>
      </c>
      <c r="C119" s="5" t="inlineStr">
        <is>
          <t>Chủ Nhật</t>
        </is>
      </c>
      <c r="D119" s="5" t="inlineStr">
        <is>
          <t>20/09/2026</t>
        </is>
      </c>
      <c r="E119" s="5" t="inlineStr">
        <is>
          <t>Ngày 13</t>
        </is>
      </c>
      <c r="F119" s="6" t="inlineStr">
        <is>
          <t>Thảo Collins Edu</t>
        </is>
      </c>
      <c r="G119" s="18" t="inlineStr"/>
      <c r="H119" s="18" t="inlineStr"/>
      <c r="I119" s="18" t="inlineStr"/>
      <c r="J119" s="18" t="inlineStr"/>
      <c r="K119" s="18" t="inlineStr"/>
      <c r="L119" s="18" t="inlineStr"/>
      <c r="M119" s="18" t="inlineStr"/>
      <c r="N119" s="18" t="inlineStr"/>
      <c r="O119" s="7">
        <f>IF(OR(G119&lt;&gt;"",H119&lt;&gt;""),1,0) + IF(OR(I119&lt;&gt;"",J119&lt;&gt;""),1,0) + IF(OR(K119&lt;&gt;"",L119&lt;&gt;""),1,0) + IF(OR(M119&lt;&gt;"",N119&lt;&gt;""),1,0)</f>
        <v/>
      </c>
      <c r="P119" s="5">
        <f>IF(O119=4,"✅ Đủ 4 nhiệm vụ",IF(O119&gt;0,"⏳ Đạt "&amp;O119&amp;"/4","❌ Chưa nộp"))</f>
        <v/>
      </c>
    </row>
    <row r="120">
      <c r="A120" s="5" t="n">
        <v>116</v>
      </c>
      <c r="B120" s="5" t="inlineStr">
        <is>
          <t>Tuần 2</t>
        </is>
      </c>
      <c r="C120" s="5" t="inlineStr">
        <is>
          <t>Chủ Nhật</t>
        </is>
      </c>
      <c r="D120" s="5" t="inlineStr">
        <is>
          <t>20/09/2026</t>
        </is>
      </c>
      <c r="E120" s="5" t="inlineStr">
        <is>
          <t>Ngày 13</t>
        </is>
      </c>
      <c r="F120" s="6" t="inlineStr">
        <is>
          <t>Trần Quế Lam</t>
        </is>
      </c>
      <c r="G120" s="18" t="inlineStr"/>
      <c r="H120" s="18" t="inlineStr"/>
      <c r="I120" s="18" t="inlineStr"/>
      <c r="J120" s="18" t="inlineStr"/>
      <c r="K120" s="18" t="inlineStr"/>
      <c r="L120" s="18" t="inlineStr"/>
      <c r="M120" s="18" t="inlineStr"/>
      <c r="N120" s="18" t="inlineStr"/>
      <c r="O120" s="7">
        <f>IF(OR(G120&lt;&gt;"",H120&lt;&gt;""),1,0) + IF(OR(I120&lt;&gt;"",J120&lt;&gt;""),1,0) + IF(OR(K120&lt;&gt;"",L120&lt;&gt;""),1,0) + IF(OR(M120&lt;&gt;"",N120&lt;&gt;""),1,0)</f>
        <v/>
      </c>
      <c r="P120" s="5">
        <f>IF(O120=4,"✅ Đủ 4 nhiệm vụ",IF(O120&gt;0,"⏳ Đạt "&amp;O120&amp;"/4","❌ Chưa nộp"))</f>
        <v/>
      </c>
    </row>
    <row r="121">
      <c r="A121" s="5" t="n">
        <v>117</v>
      </c>
      <c r="B121" s="5" t="inlineStr">
        <is>
          <t>Tuần 2</t>
        </is>
      </c>
      <c r="C121" s="5" t="inlineStr">
        <is>
          <t>Chủ Nhật</t>
        </is>
      </c>
      <c r="D121" s="5" t="inlineStr">
        <is>
          <t>20/09/2026</t>
        </is>
      </c>
      <c r="E121" s="5" t="inlineStr">
        <is>
          <t>Ngày 13</t>
        </is>
      </c>
      <c r="F121" s="6" t="inlineStr">
        <is>
          <t>Phạm Huyền</t>
        </is>
      </c>
      <c r="G121" s="18" t="inlineStr"/>
      <c r="H121" s="18" t="inlineStr"/>
      <c r="I121" s="18" t="inlineStr"/>
      <c r="J121" s="18" t="inlineStr"/>
      <c r="K121" s="18" t="inlineStr"/>
      <c r="L121" s="18" t="inlineStr"/>
      <c r="M121" s="18" t="inlineStr"/>
      <c r="N121" s="18" t="inlineStr"/>
      <c r="O121" s="7">
        <f>IF(OR(G121&lt;&gt;"",H121&lt;&gt;""),1,0) + IF(OR(I121&lt;&gt;"",J121&lt;&gt;""),1,0) + IF(OR(K121&lt;&gt;"",L121&lt;&gt;""),1,0) + IF(OR(M121&lt;&gt;"",N121&lt;&gt;""),1,0)</f>
        <v/>
      </c>
      <c r="P121" s="5">
        <f>IF(O121=4,"✅ Đủ 4 nhiệm vụ",IF(O121&gt;0,"⏳ Đạt "&amp;O121&amp;"/4","❌ Chưa nộp"))</f>
        <v/>
      </c>
    </row>
    <row r="122">
      <c r="A122" s="9" t="n">
        <v>118</v>
      </c>
      <c r="B122" s="9" t="inlineStr">
        <is>
          <t>Tuần 2</t>
        </is>
      </c>
      <c r="C122" s="9" t="inlineStr">
        <is>
          <t>Thứ 2</t>
        </is>
      </c>
      <c r="D122" s="9" t="inlineStr">
        <is>
          <t>21/09/2026</t>
        </is>
      </c>
      <c r="E122" s="9" t="inlineStr">
        <is>
          <t>Ngày 14</t>
        </is>
      </c>
      <c r="F122" s="10" t="inlineStr">
        <is>
          <t>Nancy</t>
        </is>
      </c>
      <c r="G122" s="19" t="inlineStr"/>
      <c r="H122" s="19" t="inlineStr"/>
      <c r="I122" s="19" t="inlineStr"/>
      <c r="J122" s="19" t="inlineStr"/>
      <c r="K122" s="19" t="inlineStr"/>
      <c r="L122" s="19" t="inlineStr"/>
      <c r="M122" s="19" t="inlineStr"/>
      <c r="N122" s="19" t="inlineStr"/>
      <c r="O122" s="11">
        <f>IF(OR(G122&lt;&gt;"",H122&lt;&gt;""),1,0) + IF(OR(I122&lt;&gt;"",J122&lt;&gt;""),1,0) + IF(OR(K122&lt;&gt;"",L122&lt;&gt;""),1,0) + IF(OR(M122&lt;&gt;"",N122&lt;&gt;""),1,0)</f>
        <v/>
      </c>
      <c r="P122" s="9">
        <f>IF(O122=4,"✅ Đủ 4 nhiệm vụ",IF(O122&gt;0,"⏳ Đạt "&amp;O122&amp;"/4","❌ Chưa nộp"))</f>
        <v/>
      </c>
    </row>
    <row r="123">
      <c r="A123" s="9" t="n">
        <v>119</v>
      </c>
      <c r="B123" s="9" t="inlineStr">
        <is>
          <t>Tuần 2</t>
        </is>
      </c>
      <c r="C123" s="9" t="inlineStr">
        <is>
          <t>Thứ 2</t>
        </is>
      </c>
      <c r="D123" s="9" t="inlineStr">
        <is>
          <t>21/09/2026</t>
        </is>
      </c>
      <c r="E123" s="9" t="inlineStr">
        <is>
          <t>Ngày 14</t>
        </is>
      </c>
      <c r="F123" s="10" t="inlineStr">
        <is>
          <t>Hoài Học Mãi</t>
        </is>
      </c>
      <c r="G123" s="19" t="inlineStr"/>
      <c r="H123" s="19" t="inlineStr"/>
      <c r="I123" s="19" t="inlineStr"/>
      <c r="J123" s="19" t="inlineStr"/>
      <c r="K123" s="19" t="inlineStr"/>
      <c r="L123" s="19" t="inlineStr"/>
      <c r="M123" s="19" t="inlineStr"/>
      <c r="N123" s="19" t="inlineStr"/>
      <c r="O123" s="11">
        <f>IF(OR(G123&lt;&gt;"",H123&lt;&gt;""),1,0) + IF(OR(I123&lt;&gt;"",J123&lt;&gt;""),1,0) + IF(OR(K123&lt;&gt;"",L123&lt;&gt;""),1,0) + IF(OR(M123&lt;&gt;"",N123&lt;&gt;""),1,0)</f>
        <v/>
      </c>
      <c r="P123" s="9">
        <f>IF(O123=4,"✅ Đủ 4 nhiệm vụ",IF(O123&gt;0,"⏳ Đạt "&amp;O123&amp;"/4","❌ Chưa nộp"))</f>
        <v/>
      </c>
    </row>
    <row r="124">
      <c r="A124" s="9" t="n">
        <v>120</v>
      </c>
      <c r="B124" s="9" t="inlineStr">
        <is>
          <t>Tuần 2</t>
        </is>
      </c>
      <c r="C124" s="9" t="inlineStr">
        <is>
          <t>Thứ 2</t>
        </is>
      </c>
      <c r="D124" s="9" t="inlineStr">
        <is>
          <t>21/09/2026</t>
        </is>
      </c>
      <c r="E124" s="9" t="inlineStr">
        <is>
          <t>Ngày 14</t>
        </is>
      </c>
      <c r="F124" s="10" t="inlineStr">
        <is>
          <t>Lambee</t>
        </is>
      </c>
      <c r="G124" s="19" t="inlineStr"/>
      <c r="H124" s="19" t="inlineStr"/>
      <c r="I124" s="19" t="inlineStr"/>
      <c r="J124" s="19" t="inlineStr"/>
      <c r="K124" s="19" t="inlineStr"/>
      <c r="L124" s="19" t="inlineStr"/>
      <c r="M124" s="19" t="inlineStr"/>
      <c r="N124" s="19" t="inlineStr"/>
      <c r="O124" s="11">
        <f>IF(OR(G124&lt;&gt;"",H124&lt;&gt;""),1,0) + IF(OR(I124&lt;&gt;"",J124&lt;&gt;""),1,0) + IF(OR(K124&lt;&gt;"",L124&lt;&gt;""),1,0) + IF(OR(M124&lt;&gt;"",N124&lt;&gt;""),1,0)</f>
        <v/>
      </c>
      <c r="P124" s="9">
        <f>IF(O124=4,"✅ Đủ 4 nhiệm vụ",IF(O124&gt;0,"⏳ Đạt "&amp;O124&amp;"/4","❌ Chưa nộp"))</f>
        <v/>
      </c>
    </row>
    <row r="125">
      <c r="A125" s="9" t="n">
        <v>121</v>
      </c>
      <c r="B125" s="9" t="inlineStr">
        <is>
          <t>Tuần 2</t>
        </is>
      </c>
      <c r="C125" s="9" t="inlineStr">
        <is>
          <t>Thứ 2</t>
        </is>
      </c>
      <c r="D125" s="9" t="inlineStr">
        <is>
          <t>21/09/2026</t>
        </is>
      </c>
      <c r="E125" s="9" t="inlineStr">
        <is>
          <t>Ngày 14</t>
        </is>
      </c>
      <c r="F125" s="10" t="inlineStr">
        <is>
          <t>Nhung Hoàng</t>
        </is>
      </c>
      <c r="G125" s="19" t="inlineStr"/>
      <c r="H125" s="19" t="inlineStr"/>
      <c r="I125" s="19" t="inlineStr"/>
      <c r="J125" s="19" t="inlineStr"/>
      <c r="K125" s="19" t="inlineStr"/>
      <c r="L125" s="19" t="inlineStr"/>
      <c r="M125" s="19" t="inlineStr"/>
      <c r="N125" s="19" t="inlineStr"/>
      <c r="O125" s="11">
        <f>IF(OR(G125&lt;&gt;"",H125&lt;&gt;""),1,0) + IF(OR(I125&lt;&gt;"",J125&lt;&gt;""),1,0) + IF(OR(K125&lt;&gt;"",L125&lt;&gt;""),1,0) + IF(OR(M125&lt;&gt;"",N125&lt;&gt;""),1,0)</f>
        <v/>
      </c>
      <c r="P125" s="9">
        <f>IF(O125=4,"✅ Đủ 4 nhiệm vụ",IF(O125&gt;0,"⏳ Đạt "&amp;O125&amp;"/4","❌ Chưa nộp"))</f>
        <v/>
      </c>
    </row>
    <row r="126">
      <c r="A126" s="9" t="n">
        <v>122</v>
      </c>
      <c r="B126" s="9" t="inlineStr">
        <is>
          <t>Tuần 2</t>
        </is>
      </c>
      <c r="C126" s="9" t="inlineStr">
        <is>
          <t>Thứ 2</t>
        </is>
      </c>
      <c r="D126" s="9" t="inlineStr">
        <is>
          <t>21/09/2026</t>
        </is>
      </c>
      <c r="E126" s="9" t="inlineStr">
        <is>
          <t>Ngày 14</t>
        </is>
      </c>
      <c r="F126" s="10" t="inlineStr">
        <is>
          <t>Quỳnh Thu</t>
        </is>
      </c>
      <c r="G126" s="19" t="inlineStr"/>
      <c r="H126" s="19" t="inlineStr"/>
      <c r="I126" s="19" t="inlineStr"/>
      <c r="J126" s="19" t="inlineStr"/>
      <c r="K126" s="19" t="inlineStr"/>
      <c r="L126" s="19" t="inlineStr"/>
      <c r="M126" s="19" t="inlineStr"/>
      <c r="N126" s="19" t="inlineStr"/>
      <c r="O126" s="11">
        <f>IF(OR(G126&lt;&gt;"",H126&lt;&gt;""),1,0) + IF(OR(I126&lt;&gt;"",J126&lt;&gt;""),1,0) + IF(OR(K126&lt;&gt;"",L126&lt;&gt;""),1,0) + IF(OR(M126&lt;&gt;"",N126&lt;&gt;""),1,0)</f>
        <v/>
      </c>
      <c r="P126" s="9">
        <f>IF(O126=4,"✅ Đủ 4 nhiệm vụ",IF(O126&gt;0,"⏳ Đạt "&amp;O126&amp;"/4","❌ Chưa nộp"))</f>
        <v/>
      </c>
    </row>
    <row r="127">
      <c r="A127" s="9" t="n">
        <v>123</v>
      </c>
      <c r="B127" s="9" t="inlineStr">
        <is>
          <t>Tuần 2</t>
        </is>
      </c>
      <c r="C127" s="9" t="inlineStr">
        <is>
          <t>Thứ 2</t>
        </is>
      </c>
      <c r="D127" s="9" t="inlineStr">
        <is>
          <t>21/09/2026</t>
        </is>
      </c>
      <c r="E127" s="9" t="inlineStr">
        <is>
          <t>Ngày 14</t>
        </is>
      </c>
      <c r="F127" s="10" t="inlineStr">
        <is>
          <t>TanAnh Pham</t>
        </is>
      </c>
      <c r="G127" s="19" t="inlineStr"/>
      <c r="H127" s="19" t="inlineStr"/>
      <c r="I127" s="19" t="inlineStr"/>
      <c r="J127" s="19" t="inlineStr"/>
      <c r="K127" s="19" t="inlineStr"/>
      <c r="L127" s="19" t="inlineStr"/>
      <c r="M127" s="19" t="inlineStr"/>
      <c r="N127" s="19" t="inlineStr"/>
      <c r="O127" s="11">
        <f>IF(OR(G127&lt;&gt;"",H127&lt;&gt;""),1,0) + IF(OR(I127&lt;&gt;"",J127&lt;&gt;""),1,0) + IF(OR(K127&lt;&gt;"",L127&lt;&gt;""),1,0) + IF(OR(M127&lt;&gt;"",N127&lt;&gt;""),1,0)</f>
        <v/>
      </c>
      <c r="P127" s="9">
        <f>IF(O127=4,"✅ Đủ 4 nhiệm vụ",IF(O127&gt;0,"⏳ Đạt "&amp;O127&amp;"/4","❌ Chưa nộp"))</f>
        <v/>
      </c>
    </row>
    <row r="128">
      <c r="A128" s="9" t="n">
        <v>124</v>
      </c>
      <c r="B128" s="9" t="inlineStr">
        <is>
          <t>Tuần 2</t>
        </is>
      </c>
      <c r="C128" s="9" t="inlineStr">
        <is>
          <t>Thứ 2</t>
        </is>
      </c>
      <c r="D128" s="9" t="inlineStr">
        <is>
          <t>21/09/2026</t>
        </is>
      </c>
      <c r="E128" s="9" t="inlineStr">
        <is>
          <t>Ngày 14</t>
        </is>
      </c>
      <c r="F128" s="10" t="inlineStr">
        <is>
          <t>Thảo Collins Edu</t>
        </is>
      </c>
      <c r="G128" s="19" t="inlineStr"/>
      <c r="H128" s="19" t="inlineStr"/>
      <c r="I128" s="19" t="inlineStr"/>
      <c r="J128" s="19" t="inlineStr"/>
      <c r="K128" s="19" t="inlineStr"/>
      <c r="L128" s="19" t="inlineStr"/>
      <c r="M128" s="19" t="inlineStr"/>
      <c r="N128" s="19" t="inlineStr"/>
      <c r="O128" s="11">
        <f>IF(OR(G128&lt;&gt;"",H128&lt;&gt;""),1,0) + IF(OR(I128&lt;&gt;"",J128&lt;&gt;""),1,0) + IF(OR(K128&lt;&gt;"",L128&lt;&gt;""),1,0) + IF(OR(M128&lt;&gt;"",N128&lt;&gt;""),1,0)</f>
        <v/>
      </c>
      <c r="P128" s="9">
        <f>IF(O128=4,"✅ Đủ 4 nhiệm vụ",IF(O128&gt;0,"⏳ Đạt "&amp;O128&amp;"/4","❌ Chưa nộp"))</f>
        <v/>
      </c>
    </row>
    <row r="129">
      <c r="A129" s="9" t="n">
        <v>125</v>
      </c>
      <c r="B129" s="9" t="inlineStr">
        <is>
          <t>Tuần 2</t>
        </is>
      </c>
      <c r="C129" s="9" t="inlineStr">
        <is>
          <t>Thứ 2</t>
        </is>
      </c>
      <c r="D129" s="9" t="inlineStr">
        <is>
          <t>21/09/2026</t>
        </is>
      </c>
      <c r="E129" s="9" t="inlineStr">
        <is>
          <t>Ngày 14</t>
        </is>
      </c>
      <c r="F129" s="10" t="inlineStr">
        <is>
          <t>Trần Quế Lam</t>
        </is>
      </c>
      <c r="G129" s="19" t="inlineStr"/>
      <c r="H129" s="19" t="inlineStr"/>
      <c r="I129" s="19" t="inlineStr"/>
      <c r="J129" s="19" t="inlineStr"/>
      <c r="K129" s="19" t="inlineStr"/>
      <c r="L129" s="19" t="inlineStr"/>
      <c r="M129" s="19" t="inlineStr"/>
      <c r="N129" s="19" t="inlineStr"/>
      <c r="O129" s="11">
        <f>IF(OR(G129&lt;&gt;"",H129&lt;&gt;""),1,0) + IF(OR(I129&lt;&gt;"",J129&lt;&gt;""),1,0) + IF(OR(K129&lt;&gt;"",L129&lt;&gt;""),1,0) + IF(OR(M129&lt;&gt;"",N129&lt;&gt;""),1,0)</f>
        <v/>
      </c>
      <c r="P129" s="9">
        <f>IF(O129=4,"✅ Đủ 4 nhiệm vụ",IF(O129&gt;0,"⏳ Đạt "&amp;O129&amp;"/4","❌ Chưa nộp"))</f>
        <v/>
      </c>
    </row>
    <row r="130">
      <c r="A130" s="9" t="n">
        <v>126</v>
      </c>
      <c r="B130" s="9" t="inlineStr">
        <is>
          <t>Tuần 2</t>
        </is>
      </c>
      <c r="C130" s="9" t="inlineStr">
        <is>
          <t>Thứ 2</t>
        </is>
      </c>
      <c r="D130" s="9" t="inlineStr">
        <is>
          <t>21/09/2026</t>
        </is>
      </c>
      <c r="E130" s="9" t="inlineStr">
        <is>
          <t>Ngày 14</t>
        </is>
      </c>
      <c r="F130" s="10" t="inlineStr">
        <is>
          <t>Phạm Huyền</t>
        </is>
      </c>
      <c r="G130" s="19" t="inlineStr"/>
      <c r="H130" s="19" t="inlineStr"/>
      <c r="I130" s="19" t="inlineStr"/>
      <c r="J130" s="19" t="inlineStr"/>
      <c r="K130" s="19" t="inlineStr"/>
      <c r="L130" s="19" t="inlineStr"/>
      <c r="M130" s="19" t="inlineStr"/>
      <c r="N130" s="19" t="inlineStr"/>
      <c r="O130" s="11">
        <f>IF(OR(G130&lt;&gt;"",H130&lt;&gt;""),1,0) + IF(OR(I130&lt;&gt;"",J130&lt;&gt;""),1,0) + IF(OR(K130&lt;&gt;"",L130&lt;&gt;""),1,0) + IF(OR(M130&lt;&gt;"",N130&lt;&gt;""),1,0)</f>
        <v/>
      </c>
      <c r="P130" s="9">
        <f>IF(O130=4,"✅ Đủ 4 nhiệm vụ",IF(O130&gt;0,"⏳ Đạt "&amp;O130&amp;"/4","❌ Chưa nộp"))</f>
        <v/>
      </c>
    </row>
    <row r="131">
      <c r="A131" s="5" t="n">
        <v>127</v>
      </c>
      <c r="B131" s="5" t="inlineStr">
        <is>
          <t>Tuần 3</t>
        </is>
      </c>
      <c r="C131" s="5" t="inlineStr">
        <is>
          <t>Thứ 3</t>
        </is>
      </c>
      <c r="D131" s="5" t="inlineStr">
        <is>
          <t>22/09/2026</t>
        </is>
      </c>
      <c r="E131" s="5" t="inlineStr">
        <is>
          <t>Ngày 15</t>
        </is>
      </c>
      <c r="F131" s="6" t="inlineStr">
        <is>
          <t>Nancy</t>
        </is>
      </c>
      <c r="G131" s="18" t="inlineStr"/>
      <c r="H131" s="18" t="inlineStr"/>
      <c r="I131" s="18" t="inlineStr"/>
      <c r="J131" s="18" t="inlineStr"/>
      <c r="K131" s="18" t="inlineStr"/>
      <c r="L131" s="18" t="inlineStr"/>
      <c r="M131" s="18" t="inlineStr"/>
      <c r="N131" s="18" t="inlineStr"/>
      <c r="O131" s="7">
        <f>IF(OR(G131&lt;&gt;"",H131&lt;&gt;""),1,0) + IF(OR(I131&lt;&gt;"",J131&lt;&gt;""),1,0) + IF(OR(K131&lt;&gt;"",L131&lt;&gt;""),1,0) + IF(OR(M131&lt;&gt;"",N131&lt;&gt;""),1,0)</f>
        <v/>
      </c>
      <c r="P131" s="5">
        <f>IF(O131=4,"✅ Đủ 4 nhiệm vụ",IF(O131&gt;0,"⏳ Đạt "&amp;O131&amp;"/4","❌ Chưa nộp"))</f>
        <v/>
      </c>
    </row>
    <row r="132">
      <c r="A132" s="5" t="n">
        <v>128</v>
      </c>
      <c r="B132" s="5" t="inlineStr">
        <is>
          <t>Tuần 3</t>
        </is>
      </c>
      <c r="C132" s="5" t="inlineStr">
        <is>
          <t>Thứ 3</t>
        </is>
      </c>
      <c r="D132" s="5" t="inlineStr">
        <is>
          <t>22/09/2026</t>
        </is>
      </c>
      <c r="E132" s="5" t="inlineStr">
        <is>
          <t>Ngày 15</t>
        </is>
      </c>
      <c r="F132" s="6" t="inlineStr">
        <is>
          <t>Hoài Học Mãi</t>
        </is>
      </c>
      <c r="G132" s="18" t="inlineStr"/>
      <c r="H132" s="18" t="inlineStr"/>
      <c r="I132" s="18" t="inlineStr"/>
      <c r="J132" s="18" t="inlineStr"/>
      <c r="K132" s="18" t="inlineStr"/>
      <c r="L132" s="18" t="inlineStr"/>
      <c r="M132" s="18" t="inlineStr"/>
      <c r="N132" s="18" t="inlineStr"/>
      <c r="O132" s="7">
        <f>IF(OR(G132&lt;&gt;"",H132&lt;&gt;""),1,0) + IF(OR(I132&lt;&gt;"",J132&lt;&gt;""),1,0) + IF(OR(K132&lt;&gt;"",L132&lt;&gt;""),1,0) + IF(OR(M132&lt;&gt;"",N132&lt;&gt;""),1,0)</f>
        <v/>
      </c>
      <c r="P132" s="5">
        <f>IF(O132=4,"✅ Đủ 4 nhiệm vụ",IF(O132&gt;0,"⏳ Đạt "&amp;O132&amp;"/4","❌ Chưa nộp"))</f>
        <v/>
      </c>
    </row>
    <row r="133">
      <c r="A133" s="5" t="n">
        <v>129</v>
      </c>
      <c r="B133" s="5" t="inlineStr">
        <is>
          <t>Tuần 3</t>
        </is>
      </c>
      <c r="C133" s="5" t="inlineStr">
        <is>
          <t>Thứ 3</t>
        </is>
      </c>
      <c r="D133" s="5" t="inlineStr">
        <is>
          <t>22/09/2026</t>
        </is>
      </c>
      <c r="E133" s="5" t="inlineStr">
        <is>
          <t>Ngày 15</t>
        </is>
      </c>
      <c r="F133" s="6" t="inlineStr">
        <is>
          <t>Lambee</t>
        </is>
      </c>
      <c r="G133" s="18" t="inlineStr"/>
      <c r="H133" s="18" t="inlineStr"/>
      <c r="I133" s="18" t="inlineStr"/>
      <c r="J133" s="18" t="inlineStr"/>
      <c r="K133" s="18" t="inlineStr"/>
      <c r="L133" s="18" t="inlineStr"/>
      <c r="M133" s="18" t="inlineStr"/>
      <c r="N133" s="18" t="inlineStr"/>
      <c r="O133" s="7">
        <f>IF(OR(G133&lt;&gt;"",H133&lt;&gt;""),1,0) + IF(OR(I133&lt;&gt;"",J133&lt;&gt;""),1,0) + IF(OR(K133&lt;&gt;"",L133&lt;&gt;""),1,0) + IF(OR(M133&lt;&gt;"",N133&lt;&gt;""),1,0)</f>
        <v/>
      </c>
      <c r="P133" s="5">
        <f>IF(O133=4,"✅ Đủ 4 nhiệm vụ",IF(O133&gt;0,"⏳ Đạt "&amp;O133&amp;"/4","❌ Chưa nộp"))</f>
        <v/>
      </c>
    </row>
    <row r="134">
      <c r="A134" s="5" t="n">
        <v>130</v>
      </c>
      <c r="B134" s="5" t="inlineStr">
        <is>
          <t>Tuần 3</t>
        </is>
      </c>
      <c r="C134" s="5" t="inlineStr">
        <is>
          <t>Thứ 3</t>
        </is>
      </c>
      <c r="D134" s="5" t="inlineStr">
        <is>
          <t>22/09/2026</t>
        </is>
      </c>
      <c r="E134" s="5" t="inlineStr">
        <is>
          <t>Ngày 15</t>
        </is>
      </c>
      <c r="F134" s="6" t="inlineStr">
        <is>
          <t>Nhung Hoàng</t>
        </is>
      </c>
      <c r="G134" s="18" t="inlineStr"/>
      <c r="H134" s="18" t="inlineStr"/>
      <c r="I134" s="18" t="inlineStr"/>
      <c r="J134" s="18" t="inlineStr"/>
      <c r="K134" s="18" t="inlineStr"/>
      <c r="L134" s="18" t="inlineStr"/>
      <c r="M134" s="18" t="inlineStr"/>
      <c r="N134" s="18" t="inlineStr"/>
      <c r="O134" s="7">
        <f>IF(OR(G134&lt;&gt;"",H134&lt;&gt;""),1,0) + IF(OR(I134&lt;&gt;"",J134&lt;&gt;""),1,0) + IF(OR(K134&lt;&gt;"",L134&lt;&gt;""),1,0) + IF(OR(M134&lt;&gt;"",N134&lt;&gt;""),1,0)</f>
        <v/>
      </c>
      <c r="P134" s="5">
        <f>IF(O134=4,"✅ Đủ 4 nhiệm vụ",IF(O134&gt;0,"⏳ Đạt "&amp;O134&amp;"/4","❌ Chưa nộp"))</f>
        <v/>
      </c>
    </row>
    <row r="135">
      <c r="A135" s="5" t="n">
        <v>131</v>
      </c>
      <c r="B135" s="5" t="inlineStr">
        <is>
          <t>Tuần 3</t>
        </is>
      </c>
      <c r="C135" s="5" t="inlineStr">
        <is>
          <t>Thứ 3</t>
        </is>
      </c>
      <c r="D135" s="5" t="inlineStr">
        <is>
          <t>22/09/2026</t>
        </is>
      </c>
      <c r="E135" s="5" t="inlineStr">
        <is>
          <t>Ngày 15</t>
        </is>
      </c>
      <c r="F135" s="6" t="inlineStr">
        <is>
          <t>Quỳnh Thu</t>
        </is>
      </c>
      <c r="G135" s="18" t="inlineStr"/>
      <c r="H135" s="18" t="inlineStr"/>
      <c r="I135" s="18" t="inlineStr"/>
      <c r="J135" s="18" t="inlineStr"/>
      <c r="K135" s="18" t="inlineStr"/>
      <c r="L135" s="18" t="inlineStr"/>
      <c r="M135" s="18" t="inlineStr"/>
      <c r="N135" s="18" t="inlineStr"/>
      <c r="O135" s="7">
        <f>IF(OR(G135&lt;&gt;"",H135&lt;&gt;""),1,0) + IF(OR(I135&lt;&gt;"",J135&lt;&gt;""),1,0) + IF(OR(K135&lt;&gt;"",L135&lt;&gt;""),1,0) + IF(OR(M135&lt;&gt;"",N135&lt;&gt;""),1,0)</f>
        <v/>
      </c>
      <c r="P135" s="5">
        <f>IF(O135=4,"✅ Đủ 4 nhiệm vụ",IF(O135&gt;0,"⏳ Đạt "&amp;O135&amp;"/4","❌ Chưa nộp"))</f>
        <v/>
      </c>
    </row>
    <row r="136">
      <c r="A136" s="5" t="n">
        <v>132</v>
      </c>
      <c r="B136" s="5" t="inlineStr">
        <is>
          <t>Tuần 3</t>
        </is>
      </c>
      <c r="C136" s="5" t="inlineStr">
        <is>
          <t>Thứ 3</t>
        </is>
      </c>
      <c r="D136" s="5" t="inlineStr">
        <is>
          <t>22/09/2026</t>
        </is>
      </c>
      <c r="E136" s="5" t="inlineStr">
        <is>
          <t>Ngày 15</t>
        </is>
      </c>
      <c r="F136" s="6" t="inlineStr">
        <is>
          <t>TanAnh Pham</t>
        </is>
      </c>
      <c r="G136" s="18" t="inlineStr"/>
      <c r="H136" s="18" t="inlineStr"/>
      <c r="I136" s="18" t="inlineStr"/>
      <c r="J136" s="18" t="inlineStr"/>
      <c r="K136" s="18" t="inlineStr"/>
      <c r="L136" s="18" t="inlineStr"/>
      <c r="M136" s="18" t="inlineStr"/>
      <c r="N136" s="18" t="inlineStr"/>
      <c r="O136" s="7">
        <f>IF(OR(G136&lt;&gt;"",H136&lt;&gt;""),1,0) + IF(OR(I136&lt;&gt;"",J136&lt;&gt;""),1,0) + IF(OR(K136&lt;&gt;"",L136&lt;&gt;""),1,0) + IF(OR(M136&lt;&gt;"",N136&lt;&gt;""),1,0)</f>
        <v/>
      </c>
      <c r="P136" s="5">
        <f>IF(O136=4,"✅ Đủ 4 nhiệm vụ",IF(O136&gt;0,"⏳ Đạt "&amp;O136&amp;"/4","❌ Chưa nộp"))</f>
        <v/>
      </c>
    </row>
    <row r="137">
      <c r="A137" s="5" t="n">
        <v>133</v>
      </c>
      <c r="B137" s="5" t="inlineStr">
        <is>
          <t>Tuần 3</t>
        </is>
      </c>
      <c r="C137" s="5" t="inlineStr">
        <is>
          <t>Thứ 3</t>
        </is>
      </c>
      <c r="D137" s="5" t="inlineStr">
        <is>
          <t>22/09/2026</t>
        </is>
      </c>
      <c r="E137" s="5" t="inlineStr">
        <is>
          <t>Ngày 15</t>
        </is>
      </c>
      <c r="F137" s="6" t="inlineStr">
        <is>
          <t>Thảo Collins Edu</t>
        </is>
      </c>
      <c r="G137" s="18" t="inlineStr"/>
      <c r="H137" s="18" t="inlineStr"/>
      <c r="I137" s="18" t="inlineStr"/>
      <c r="J137" s="18" t="inlineStr"/>
      <c r="K137" s="18" t="inlineStr"/>
      <c r="L137" s="18" t="inlineStr"/>
      <c r="M137" s="18" t="inlineStr"/>
      <c r="N137" s="18" t="inlineStr"/>
      <c r="O137" s="7">
        <f>IF(OR(G137&lt;&gt;"",H137&lt;&gt;""),1,0) + IF(OR(I137&lt;&gt;"",J137&lt;&gt;""),1,0) + IF(OR(K137&lt;&gt;"",L137&lt;&gt;""),1,0) + IF(OR(M137&lt;&gt;"",N137&lt;&gt;""),1,0)</f>
        <v/>
      </c>
      <c r="P137" s="5">
        <f>IF(O137=4,"✅ Đủ 4 nhiệm vụ",IF(O137&gt;0,"⏳ Đạt "&amp;O137&amp;"/4","❌ Chưa nộp"))</f>
        <v/>
      </c>
    </row>
    <row r="138">
      <c r="A138" s="5" t="n">
        <v>134</v>
      </c>
      <c r="B138" s="5" t="inlineStr">
        <is>
          <t>Tuần 3</t>
        </is>
      </c>
      <c r="C138" s="5" t="inlineStr">
        <is>
          <t>Thứ 3</t>
        </is>
      </c>
      <c r="D138" s="5" t="inlineStr">
        <is>
          <t>22/09/2026</t>
        </is>
      </c>
      <c r="E138" s="5" t="inlineStr">
        <is>
          <t>Ngày 15</t>
        </is>
      </c>
      <c r="F138" s="6" t="inlineStr">
        <is>
          <t>Trần Quế Lam</t>
        </is>
      </c>
      <c r="G138" s="18" t="inlineStr"/>
      <c r="H138" s="18" t="inlineStr"/>
      <c r="I138" s="18" t="inlineStr"/>
      <c r="J138" s="18" t="inlineStr"/>
      <c r="K138" s="18" t="inlineStr"/>
      <c r="L138" s="18" t="inlineStr"/>
      <c r="M138" s="18" t="inlineStr"/>
      <c r="N138" s="18" t="inlineStr"/>
      <c r="O138" s="7">
        <f>IF(OR(G138&lt;&gt;"",H138&lt;&gt;""),1,0) + IF(OR(I138&lt;&gt;"",J138&lt;&gt;""),1,0) + IF(OR(K138&lt;&gt;"",L138&lt;&gt;""),1,0) + IF(OR(M138&lt;&gt;"",N138&lt;&gt;""),1,0)</f>
        <v/>
      </c>
      <c r="P138" s="5">
        <f>IF(O138=4,"✅ Đủ 4 nhiệm vụ",IF(O138&gt;0,"⏳ Đạt "&amp;O138&amp;"/4","❌ Chưa nộp"))</f>
        <v/>
      </c>
    </row>
    <row r="139">
      <c r="A139" s="5" t="n">
        <v>135</v>
      </c>
      <c r="B139" s="5" t="inlineStr">
        <is>
          <t>Tuần 3</t>
        </is>
      </c>
      <c r="C139" s="5" t="inlineStr">
        <is>
          <t>Thứ 3</t>
        </is>
      </c>
      <c r="D139" s="5" t="inlineStr">
        <is>
          <t>22/09/2026</t>
        </is>
      </c>
      <c r="E139" s="5" t="inlineStr">
        <is>
          <t>Ngày 15</t>
        </is>
      </c>
      <c r="F139" s="6" t="inlineStr">
        <is>
          <t>Phạm Huyền</t>
        </is>
      </c>
      <c r="G139" s="18" t="inlineStr"/>
      <c r="H139" s="18" t="inlineStr"/>
      <c r="I139" s="18" t="inlineStr"/>
      <c r="J139" s="18" t="inlineStr"/>
      <c r="K139" s="18" t="inlineStr"/>
      <c r="L139" s="18" t="inlineStr"/>
      <c r="M139" s="18" t="inlineStr"/>
      <c r="N139" s="18" t="inlineStr"/>
      <c r="O139" s="7">
        <f>IF(OR(G139&lt;&gt;"",H139&lt;&gt;""),1,0) + IF(OR(I139&lt;&gt;"",J139&lt;&gt;""),1,0) + IF(OR(K139&lt;&gt;"",L139&lt;&gt;""),1,0) + IF(OR(M139&lt;&gt;"",N139&lt;&gt;""),1,0)</f>
        <v/>
      </c>
      <c r="P139" s="5">
        <f>IF(O139=4,"✅ Đủ 4 nhiệm vụ",IF(O139&gt;0,"⏳ Đạt "&amp;O139&amp;"/4","❌ Chưa nộp"))</f>
        <v/>
      </c>
    </row>
    <row r="140">
      <c r="A140" s="9" t="n">
        <v>136</v>
      </c>
      <c r="B140" s="9" t="inlineStr">
        <is>
          <t>Tuần 3</t>
        </is>
      </c>
      <c r="C140" s="9" t="inlineStr">
        <is>
          <t>Thứ 4</t>
        </is>
      </c>
      <c r="D140" s="9" t="inlineStr">
        <is>
          <t>23/09/2026</t>
        </is>
      </c>
      <c r="E140" s="9" t="inlineStr">
        <is>
          <t>Ngày 16</t>
        </is>
      </c>
      <c r="F140" s="10" t="inlineStr">
        <is>
          <t>Nancy</t>
        </is>
      </c>
      <c r="G140" s="19" t="inlineStr"/>
      <c r="H140" s="19" t="inlineStr"/>
      <c r="I140" s="19" t="inlineStr"/>
      <c r="J140" s="19" t="inlineStr"/>
      <c r="K140" s="19" t="inlineStr"/>
      <c r="L140" s="19" t="inlineStr"/>
      <c r="M140" s="19" t="inlineStr"/>
      <c r="N140" s="19" t="inlineStr"/>
      <c r="O140" s="11">
        <f>IF(OR(G140&lt;&gt;"",H140&lt;&gt;""),1,0) + IF(OR(I140&lt;&gt;"",J140&lt;&gt;""),1,0) + IF(OR(K140&lt;&gt;"",L140&lt;&gt;""),1,0) + IF(OR(M140&lt;&gt;"",N140&lt;&gt;""),1,0)</f>
        <v/>
      </c>
      <c r="P140" s="9">
        <f>IF(O140=4,"✅ Đủ 4 nhiệm vụ",IF(O140&gt;0,"⏳ Đạt "&amp;O140&amp;"/4","❌ Chưa nộp"))</f>
        <v/>
      </c>
    </row>
    <row r="141">
      <c r="A141" s="9" t="n">
        <v>137</v>
      </c>
      <c r="B141" s="9" t="inlineStr">
        <is>
          <t>Tuần 3</t>
        </is>
      </c>
      <c r="C141" s="9" t="inlineStr">
        <is>
          <t>Thứ 4</t>
        </is>
      </c>
      <c r="D141" s="9" t="inlineStr">
        <is>
          <t>23/09/2026</t>
        </is>
      </c>
      <c r="E141" s="9" t="inlineStr">
        <is>
          <t>Ngày 16</t>
        </is>
      </c>
      <c r="F141" s="10" t="inlineStr">
        <is>
          <t>Hoài Học Mãi</t>
        </is>
      </c>
      <c r="G141" s="19" t="inlineStr"/>
      <c r="H141" s="19" t="inlineStr"/>
      <c r="I141" s="19" t="inlineStr"/>
      <c r="J141" s="19" t="inlineStr"/>
      <c r="K141" s="19" t="inlineStr"/>
      <c r="L141" s="19" t="inlineStr"/>
      <c r="M141" s="19" t="inlineStr"/>
      <c r="N141" s="19" t="inlineStr"/>
      <c r="O141" s="11">
        <f>IF(OR(G141&lt;&gt;"",H141&lt;&gt;""),1,0) + IF(OR(I141&lt;&gt;"",J141&lt;&gt;""),1,0) + IF(OR(K141&lt;&gt;"",L141&lt;&gt;""),1,0) + IF(OR(M141&lt;&gt;"",N141&lt;&gt;""),1,0)</f>
        <v/>
      </c>
      <c r="P141" s="9">
        <f>IF(O141=4,"✅ Đủ 4 nhiệm vụ",IF(O141&gt;0,"⏳ Đạt "&amp;O141&amp;"/4","❌ Chưa nộp"))</f>
        <v/>
      </c>
    </row>
    <row r="142">
      <c r="A142" s="9" t="n">
        <v>138</v>
      </c>
      <c r="B142" s="9" t="inlineStr">
        <is>
          <t>Tuần 3</t>
        </is>
      </c>
      <c r="C142" s="9" t="inlineStr">
        <is>
          <t>Thứ 4</t>
        </is>
      </c>
      <c r="D142" s="9" t="inlineStr">
        <is>
          <t>23/09/2026</t>
        </is>
      </c>
      <c r="E142" s="9" t="inlineStr">
        <is>
          <t>Ngày 16</t>
        </is>
      </c>
      <c r="F142" s="10" t="inlineStr">
        <is>
          <t>Lambee</t>
        </is>
      </c>
      <c r="G142" s="19" t="inlineStr"/>
      <c r="H142" s="19" t="inlineStr"/>
      <c r="I142" s="19" t="inlineStr"/>
      <c r="J142" s="19" t="inlineStr"/>
      <c r="K142" s="19" t="inlineStr"/>
      <c r="L142" s="19" t="inlineStr"/>
      <c r="M142" s="19" t="inlineStr"/>
      <c r="N142" s="19" t="inlineStr"/>
      <c r="O142" s="11">
        <f>IF(OR(G142&lt;&gt;"",H142&lt;&gt;""),1,0) + IF(OR(I142&lt;&gt;"",J142&lt;&gt;""),1,0) + IF(OR(K142&lt;&gt;"",L142&lt;&gt;""),1,0) + IF(OR(M142&lt;&gt;"",N142&lt;&gt;""),1,0)</f>
        <v/>
      </c>
      <c r="P142" s="9">
        <f>IF(O142=4,"✅ Đủ 4 nhiệm vụ",IF(O142&gt;0,"⏳ Đạt "&amp;O142&amp;"/4","❌ Chưa nộp"))</f>
        <v/>
      </c>
    </row>
    <row r="143">
      <c r="A143" s="9" t="n">
        <v>139</v>
      </c>
      <c r="B143" s="9" t="inlineStr">
        <is>
          <t>Tuần 3</t>
        </is>
      </c>
      <c r="C143" s="9" t="inlineStr">
        <is>
          <t>Thứ 4</t>
        </is>
      </c>
      <c r="D143" s="9" t="inlineStr">
        <is>
          <t>23/09/2026</t>
        </is>
      </c>
      <c r="E143" s="9" t="inlineStr">
        <is>
          <t>Ngày 16</t>
        </is>
      </c>
      <c r="F143" s="10" t="inlineStr">
        <is>
          <t>Nhung Hoàng</t>
        </is>
      </c>
      <c r="G143" s="19" t="inlineStr"/>
      <c r="H143" s="19" t="inlineStr"/>
      <c r="I143" s="19" t="inlineStr"/>
      <c r="J143" s="19" t="inlineStr"/>
      <c r="K143" s="19" t="inlineStr"/>
      <c r="L143" s="19" t="inlineStr"/>
      <c r="M143" s="19" t="inlineStr"/>
      <c r="N143" s="19" t="inlineStr"/>
      <c r="O143" s="11">
        <f>IF(OR(G143&lt;&gt;"",H143&lt;&gt;""),1,0) + IF(OR(I143&lt;&gt;"",J143&lt;&gt;""),1,0) + IF(OR(K143&lt;&gt;"",L143&lt;&gt;""),1,0) + IF(OR(M143&lt;&gt;"",N143&lt;&gt;""),1,0)</f>
        <v/>
      </c>
      <c r="P143" s="9">
        <f>IF(O143=4,"✅ Đủ 4 nhiệm vụ",IF(O143&gt;0,"⏳ Đạt "&amp;O143&amp;"/4","❌ Chưa nộp"))</f>
        <v/>
      </c>
    </row>
    <row r="144">
      <c r="A144" s="9" t="n">
        <v>140</v>
      </c>
      <c r="B144" s="9" t="inlineStr">
        <is>
          <t>Tuần 3</t>
        </is>
      </c>
      <c r="C144" s="9" t="inlineStr">
        <is>
          <t>Thứ 4</t>
        </is>
      </c>
      <c r="D144" s="9" t="inlineStr">
        <is>
          <t>23/09/2026</t>
        </is>
      </c>
      <c r="E144" s="9" t="inlineStr">
        <is>
          <t>Ngày 16</t>
        </is>
      </c>
      <c r="F144" s="10" t="inlineStr">
        <is>
          <t>Quỳnh Thu</t>
        </is>
      </c>
      <c r="G144" s="19" t="inlineStr"/>
      <c r="H144" s="19" t="inlineStr"/>
      <c r="I144" s="19" t="inlineStr"/>
      <c r="J144" s="19" t="inlineStr"/>
      <c r="K144" s="19" t="inlineStr"/>
      <c r="L144" s="19" t="inlineStr"/>
      <c r="M144" s="19" t="inlineStr"/>
      <c r="N144" s="19" t="inlineStr"/>
      <c r="O144" s="11">
        <f>IF(OR(G144&lt;&gt;"",H144&lt;&gt;""),1,0) + IF(OR(I144&lt;&gt;"",J144&lt;&gt;""),1,0) + IF(OR(K144&lt;&gt;"",L144&lt;&gt;""),1,0) + IF(OR(M144&lt;&gt;"",N144&lt;&gt;""),1,0)</f>
        <v/>
      </c>
      <c r="P144" s="9">
        <f>IF(O144=4,"✅ Đủ 4 nhiệm vụ",IF(O144&gt;0,"⏳ Đạt "&amp;O144&amp;"/4","❌ Chưa nộp"))</f>
        <v/>
      </c>
    </row>
    <row r="145">
      <c r="A145" s="9" t="n">
        <v>141</v>
      </c>
      <c r="B145" s="9" t="inlineStr">
        <is>
          <t>Tuần 3</t>
        </is>
      </c>
      <c r="C145" s="9" t="inlineStr">
        <is>
          <t>Thứ 4</t>
        </is>
      </c>
      <c r="D145" s="9" t="inlineStr">
        <is>
          <t>23/09/2026</t>
        </is>
      </c>
      <c r="E145" s="9" t="inlineStr">
        <is>
          <t>Ngày 16</t>
        </is>
      </c>
      <c r="F145" s="10" t="inlineStr">
        <is>
          <t>TanAnh Pham</t>
        </is>
      </c>
      <c r="G145" s="19" t="inlineStr"/>
      <c r="H145" s="19" t="inlineStr"/>
      <c r="I145" s="19" t="inlineStr"/>
      <c r="J145" s="19" t="inlineStr"/>
      <c r="K145" s="19" t="inlineStr"/>
      <c r="L145" s="19" t="inlineStr"/>
      <c r="M145" s="19" t="inlineStr"/>
      <c r="N145" s="19" t="inlineStr"/>
      <c r="O145" s="11">
        <f>IF(OR(G145&lt;&gt;"",H145&lt;&gt;""),1,0) + IF(OR(I145&lt;&gt;"",J145&lt;&gt;""),1,0) + IF(OR(K145&lt;&gt;"",L145&lt;&gt;""),1,0) + IF(OR(M145&lt;&gt;"",N145&lt;&gt;""),1,0)</f>
        <v/>
      </c>
      <c r="P145" s="9">
        <f>IF(O145=4,"✅ Đủ 4 nhiệm vụ",IF(O145&gt;0,"⏳ Đạt "&amp;O145&amp;"/4","❌ Chưa nộp"))</f>
        <v/>
      </c>
    </row>
    <row r="146">
      <c r="A146" s="9" t="n">
        <v>142</v>
      </c>
      <c r="B146" s="9" t="inlineStr">
        <is>
          <t>Tuần 3</t>
        </is>
      </c>
      <c r="C146" s="9" t="inlineStr">
        <is>
          <t>Thứ 4</t>
        </is>
      </c>
      <c r="D146" s="9" t="inlineStr">
        <is>
          <t>23/09/2026</t>
        </is>
      </c>
      <c r="E146" s="9" t="inlineStr">
        <is>
          <t>Ngày 16</t>
        </is>
      </c>
      <c r="F146" s="10" t="inlineStr">
        <is>
          <t>Thảo Collins Edu</t>
        </is>
      </c>
      <c r="G146" s="19" t="inlineStr"/>
      <c r="H146" s="19" t="inlineStr"/>
      <c r="I146" s="19" t="inlineStr"/>
      <c r="J146" s="19" t="inlineStr"/>
      <c r="K146" s="19" t="inlineStr"/>
      <c r="L146" s="19" t="inlineStr"/>
      <c r="M146" s="19" t="inlineStr"/>
      <c r="N146" s="19" t="inlineStr"/>
      <c r="O146" s="11">
        <f>IF(OR(G146&lt;&gt;"",H146&lt;&gt;""),1,0) + IF(OR(I146&lt;&gt;"",J146&lt;&gt;""),1,0) + IF(OR(K146&lt;&gt;"",L146&lt;&gt;""),1,0) + IF(OR(M146&lt;&gt;"",N146&lt;&gt;""),1,0)</f>
        <v/>
      </c>
      <c r="P146" s="9">
        <f>IF(O146=4,"✅ Đủ 4 nhiệm vụ",IF(O146&gt;0,"⏳ Đạt "&amp;O146&amp;"/4","❌ Chưa nộp"))</f>
        <v/>
      </c>
    </row>
    <row r="147">
      <c r="A147" s="9" t="n">
        <v>143</v>
      </c>
      <c r="B147" s="9" t="inlineStr">
        <is>
          <t>Tuần 3</t>
        </is>
      </c>
      <c r="C147" s="9" t="inlineStr">
        <is>
          <t>Thứ 4</t>
        </is>
      </c>
      <c r="D147" s="9" t="inlineStr">
        <is>
          <t>23/09/2026</t>
        </is>
      </c>
      <c r="E147" s="9" t="inlineStr">
        <is>
          <t>Ngày 16</t>
        </is>
      </c>
      <c r="F147" s="10" t="inlineStr">
        <is>
          <t>Trần Quế Lam</t>
        </is>
      </c>
      <c r="G147" s="19" t="inlineStr"/>
      <c r="H147" s="19" t="inlineStr"/>
      <c r="I147" s="19" t="inlineStr"/>
      <c r="J147" s="19" t="inlineStr"/>
      <c r="K147" s="19" t="inlineStr"/>
      <c r="L147" s="19" t="inlineStr"/>
      <c r="M147" s="19" t="inlineStr"/>
      <c r="N147" s="19" t="inlineStr"/>
      <c r="O147" s="11">
        <f>IF(OR(G147&lt;&gt;"",H147&lt;&gt;""),1,0) + IF(OR(I147&lt;&gt;"",J147&lt;&gt;""),1,0) + IF(OR(K147&lt;&gt;"",L147&lt;&gt;""),1,0) + IF(OR(M147&lt;&gt;"",N147&lt;&gt;""),1,0)</f>
        <v/>
      </c>
      <c r="P147" s="9">
        <f>IF(O147=4,"✅ Đủ 4 nhiệm vụ",IF(O147&gt;0,"⏳ Đạt "&amp;O147&amp;"/4","❌ Chưa nộp"))</f>
        <v/>
      </c>
    </row>
    <row r="148">
      <c r="A148" s="9" t="n">
        <v>144</v>
      </c>
      <c r="B148" s="9" t="inlineStr">
        <is>
          <t>Tuần 3</t>
        </is>
      </c>
      <c r="C148" s="9" t="inlineStr">
        <is>
          <t>Thứ 4</t>
        </is>
      </c>
      <c r="D148" s="9" t="inlineStr">
        <is>
          <t>23/09/2026</t>
        </is>
      </c>
      <c r="E148" s="9" t="inlineStr">
        <is>
          <t>Ngày 16</t>
        </is>
      </c>
      <c r="F148" s="10" t="inlineStr">
        <is>
          <t>Phạm Huyền</t>
        </is>
      </c>
      <c r="G148" s="19" t="inlineStr"/>
      <c r="H148" s="19" t="inlineStr"/>
      <c r="I148" s="19" t="inlineStr"/>
      <c r="J148" s="19" t="inlineStr"/>
      <c r="K148" s="19" t="inlineStr"/>
      <c r="L148" s="19" t="inlineStr"/>
      <c r="M148" s="19" t="inlineStr"/>
      <c r="N148" s="19" t="inlineStr"/>
      <c r="O148" s="11">
        <f>IF(OR(G148&lt;&gt;"",H148&lt;&gt;""),1,0) + IF(OR(I148&lt;&gt;"",J148&lt;&gt;""),1,0) + IF(OR(K148&lt;&gt;"",L148&lt;&gt;""),1,0) + IF(OR(M148&lt;&gt;"",N148&lt;&gt;""),1,0)</f>
        <v/>
      </c>
      <c r="P148" s="9">
        <f>IF(O148=4,"✅ Đủ 4 nhiệm vụ",IF(O148&gt;0,"⏳ Đạt "&amp;O148&amp;"/4","❌ Chưa nộp"))</f>
        <v/>
      </c>
    </row>
    <row r="149">
      <c r="A149" s="5" t="n">
        <v>145</v>
      </c>
      <c r="B149" s="5" t="inlineStr">
        <is>
          <t>Tuần 3</t>
        </is>
      </c>
      <c r="C149" s="5" t="inlineStr">
        <is>
          <t>Thứ 5</t>
        </is>
      </c>
      <c r="D149" s="5" t="inlineStr">
        <is>
          <t>24/09/2026</t>
        </is>
      </c>
      <c r="E149" s="5" t="inlineStr">
        <is>
          <t>Ngày 17</t>
        </is>
      </c>
      <c r="F149" s="6" t="inlineStr">
        <is>
          <t>Nancy</t>
        </is>
      </c>
      <c r="G149" s="18" t="inlineStr"/>
      <c r="H149" s="18" t="inlineStr"/>
      <c r="I149" s="18" t="inlineStr"/>
      <c r="J149" s="18" t="inlineStr"/>
      <c r="K149" s="18" t="inlineStr"/>
      <c r="L149" s="18" t="inlineStr"/>
      <c r="M149" s="18" t="inlineStr"/>
      <c r="N149" s="18" t="inlineStr"/>
      <c r="O149" s="7">
        <f>IF(OR(G149&lt;&gt;"",H149&lt;&gt;""),1,0) + IF(OR(I149&lt;&gt;"",J149&lt;&gt;""),1,0) + IF(OR(K149&lt;&gt;"",L149&lt;&gt;""),1,0) + IF(OR(M149&lt;&gt;"",N149&lt;&gt;""),1,0)</f>
        <v/>
      </c>
      <c r="P149" s="5">
        <f>IF(O149=4,"✅ Đủ 4 nhiệm vụ",IF(O149&gt;0,"⏳ Đạt "&amp;O149&amp;"/4","❌ Chưa nộp"))</f>
        <v/>
      </c>
    </row>
    <row r="150">
      <c r="A150" s="5" t="n">
        <v>146</v>
      </c>
      <c r="B150" s="5" t="inlineStr">
        <is>
          <t>Tuần 3</t>
        </is>
      </c>
      <c r="C150" s="5" t="inlineStr">
        <is>
          <t>Thứ 5</t>
        </is>
      </c>
      <c r="D150" s="5" t="inlineStr">
        <is>
          <t>24/09/2026</t>
        </is>
      </c>
      <c r="E150" s="5" t="inlineStr">
        <is>
          <t>Ngày 17</t>
        </is>
      </c>
      <c r="F150" s="6" t="inlineStr">
        <is>
          <t>Hoài Học Mãi</t>
        </is>
      </c>
      <c r="G150" s="18" t="inlineStr"/>
      <c r="H150" s="18" t="inlineStr"/>
      <c r="I150" s="18" t="inlineStr"/>
      <c r="J150" s="18" t="inlineStr"/>
      <c r="K150" s="18" t="inlineStr"/>
      <c r="L150" s="18" t="inlineStr"/>
      <c r="M150" s="18" t="inlineStr"/>
      <c r="N150" s="18" t="inlineStr"/>
      <c r="O150" s="7">
        <f>IF(OR(G150&lt;&gt;"",H150&lt;&gt;""),1,0) + IF(OR(I150&lt;&gt;"",J150&lt;&gt;""),1,0) + IF(OR(K150&lt;&gt;"",L150&lt;&gt;""),1,0) + IF(OR(M150&lt;&gt;"",N150&lt;&gt;""),1,0)</f>
        <v/>
      </c>
      <c r="P150" s="5">
        <f>IF(O150=4,"✅ Đủ 4 nhiệm vụ",IF(O150&gt;0,"⏳ Đạt "&amp;O150&amp;"/4","❌ Chưa nộp"))</f>
        <v/>
      </c>
    </row>
    <row r="151">
      <c r="A151" s="5" t="n">
        <v>147</v>
      </c>
      <c r="B151" s="5" t="inlineStr">
        <is>
          <t>Tuần 3</t>
        </is>
      </c>
      <c r="C151" s="5" t="inlineStr">
        <is>
          <t>Thứ 5</t>
        </is>
      </c>
      <c r="D151" s="5" t="inlineStr">
        <is>
          <t>24/09/2026</t>
        </is>
      </c>
      <c r="E151" s="5" t="inlineStr">
        <is>
          <t>Ngày 17</t>
        </is>
      </c>
      <c r="F151" s="6" t="inlineStr">
        <is>
          <t>Lambee</t>
        </is>
      </c>
      <c r="G151" s="18" t="inlineStr"/>
      <c r="H151" s="18" t="inlineStr"/>
      <c r="I151" s="18" t="inlineStr"/>
      <c r="J151" s="18" t="inlineStr"/>
      <c r="K151" s="18" t="inlineStr"/>
      <c r="L151" s="18" t="inlineStr"/>
      <c r="M151" s="18" t="inlineStr"/>
      <c r="N151" s="18" t="inlineStr"/>
      <c r="O151" s="7">
        <f>IF(OR(G151&lt;&gt;"",H151&lt;&gt;""),1,0) + IF(OR(I151&lt;&gt;"",J151&lt;&gt;""),1,0) + IF(OR(K151&lt;&gt;"",L151&lt;&gt;""),1,0) + IF(OR(M151&lt;&gt;"",N151&lt;&gt;""),1,0)</f>
        <v/>
      </c>
      <c r="P151" s="5">
        <f>IF(O151=4,"✅ Đủ 4 nhiệm vụ",IF(O151&gt;0,"⏳ Đạt "&amp;O151&amp;"/4","❌ Chưa nộp"))</f>
        <v/>
      </c>
    </row>
    <row r="152">
      <c r="A152" s="5" t="n">
        <v>148</v>
      </c>
      <c r="B152" s="5" t="inlineStr">
        <is>
          <t>Tuần 3</t>
        </is>
      </c>
      <c r="C152" s="5" t="inlineStr">
        <is>
          <t>Thứ 5</t>
        </is>
      </c>
      <c r="D152" s="5" t="inlineStr">
        <is>
          <t>24/09/2026</t>
        </is>
      </c>
      <c r="E152" s="5" t="inlineStr">
        <is>
          <t>Ngày 17</t>
        </is>
      </c>
      <c r="F152" s="6" t="inlineStr">
        <is>
          <t>Nhung Hoàng</t>
        </is>
      </c>
      <c r="G152" s="18" t="inlineStr"/>
      <c r="H152" s="18" t="inlineStr"/>
      <c r="I152" s="18" t="inlineStr"/>
      <c r="J152" s="18" t="inlineStr"/>
      <c r="K152" s="18" t="inlineStr"/>
      <c r="L152" s="18" t="inlineStr"/>
      <c r="M152" s="18" t="inlineStr"/>
      <c r="N152" s="18" t="inlineStr"/>
      <c r="O152" s="7">
        <f>IF(OR(G152&lt;&gt;"",H152&lt;&gt;""),1,0) + IF(OR(I152&lt;&gt;"",J152&lt;&gt;""),1,0) + IF(OR(K152&lt;&gt;"",L152&lt;&gt;""),1,0) + IF(OR(M152&lt;&gt;"",N152&lt;&gt;""),1,0)</f>
        <v/>
      </c>
      <c r="P152" s="5">
        <f>IF(O152=4,"✅ Đủ 4 nhiệm vụ",IF(O152&gt;0,"⏳ Đạt "&amp;O152&amp;"/4","❌ Chưa nộp"))</f>
        <v/>
      </c>
    </row>
    <row r="153">
      <c r="A153" s="5" t="n">
        <v>149</v>
      </c>
      <c r="B153" s="5" t="inlineStr">
        <is>
          <t>Tuần 3</t>
        </is>
      </c>
      <c r="C153" s="5" t="inlineStr">
        <is>
          <t>Thứ 5</t>
        </is>
      </c>
      <c r="D153" s="5" t="inlineStr">
        <is>
          <t>24/09/2026</t>
        </is>
      </c>
      <c r="E153" s="5" t="inlineStr">
        <is>
          <t>Ngày 17</t>
        </is>
      </c>
      <c r="F153" s="6" t="inlineStr">
        <is>
          <t>Quỳnh Thu</t>
        </is>
      </c>
      <c r="G153" s="18" t="inlineStr"/>
      <c r="H153" s="18" t="inlineStr"/>
      <c r="I153" s="18" t="inlineStr"/>
      <c r="J153" s="18" t="inlineStr"/>
      <c r="K153" s="18" t="inlineStr"/>
      <c r="L153" s="18" t="inlineStr"/>
      <c r="M153" s="18" t="inlineStr"/>
      <c r="N153" s="18" t="inlineStr"/>
      <c r="O153" s="7">
        <f>IF(OR(G153&lt;&gt;"",H153&lt;&gt;""),1,0) + IF(OR(I153&lt;&gt;"",J153&lt;&gt;""),1,0) + IF(OR(K153&lt;&gt;"",L153&lt;&gt;""),1,0) + IF(OR(M153&lt;&gt;"",N153&lt;&gt;""),1,0)</f>
        <v/>
      </c>
      <c r="P153" s="5">
        <f>IF(O153=4,"✅ Đủ 4 nhiệm vụ",IF(O153&gt;0,"⏳ Đạt "&amp;O153&amp;"/4","❌ Chưa nộp"))</f>
        <v/>
      </c>
    </row>
    <row r="154">
      <c r="A154" s="5" t="n">
        <v>150</v>
      </c>
      <c r="B154" s="5" t="inlineStr">
        <is>
          <t>Tuần 3</t>
        </is>
      </c>
      <c r="C154" s="5" t="inlineStr">
        <is>
          <t>Thứ 5</t>
        </is>
      </c>
      <c r="D154" s="5" t="inlineStr">
        <is>
          <t>24/09/2026</t>
        </is>
      </c>
      <c r="E154" s="5" t="inlineStr">
        <is>
          <t>Ngày 17</t>
        </is>
      </c>
      <c r="F154" s="6" t="inlineStr">
        <is>
          <t>TanAnh Pham</t>
        </is>
      </c>
      <c r="G154" s="18" t="inlineStr"/>
      <c r="H154" s="18" t="inlineStr"/>
      <c r="I154" s="18" t="inlineStr"/>
      <c r="J154" s="18" t="inlineStr"/>
      <c r="K154" s="18" t="inlineStr"/>
      <c r="L154" s="18" t="inlineStr"/>
      <c r="M154" s="18" t="inlineStr"/>
      <c r="N154" s="18" t="inlineStr"/>
      <c r="O154" s="7">
        <f>IF(OR(G154&lt;&gt;"",H154&lt;&gt;""),1,0) + IF(OR(I154&lt;&gt;"",J154&lt;&gt;""),1,0) + IF(OR(K154&lt;&gt;"",L154&lt;&gt;""),1,0) + IF(OR(M154&lt;&gt;"",N154&lt;&gt;""),1,0)</f>
        <v/>
      </c>
      <c r="P154" s="5">
        <f>IF(O154=4,"✅ Đủ 4 nhiệm vụ",IF(O154&gt;0,"⏳ Đạt "&amp;O154&amp;"/4","❌ Chưa nộp"))</f>
        <v/>
      </c>
    </row>
    <row r="155">
      <c r="A155" s="5" t="n">
        <v>151</v>
      </c>
      <c r="B155" s="5" t="inlineStr">
        <is>
          <t>Tuần 3</t>
        </is>
      </c>
      <c r="C155" s="5" t="inlineStr">
        <is>
          <t>Thứ 5</t>
        </is>
      </c>
      <c r="D155" s="5" t="inlineStr">
        <is>
          <t>24/09/2026</t>
        </is>
      </c>
      <c r="E155" s="5" t="inlineStr">
        <is>
          <t>Ngày 17</t>
        </is>
      </c>
      <c r="F155" s="6" t="inlineStr">
        <is>
          <t>Thảo Collins Edu</t>
        </is>
      </c>
      <c r="G155" s="18" t="inlineStr"/>
      <c r="H155" s="18" t="inlineStr"/>
      <c r="I155" s="18" t="inlineStr"/>
      <c r="J155" s="18" t="inlineStr"/>
      <c r="K155" s="18" t="inlineStr"/>
      <c r="L155" s="18" t="inlineStr"/>
      <c r="M155" s="18" t="inlineStr"/>
      <c r="N155" s="18" t="inlineStr"/>
      <c r="O155" s="7">
        <f>IF(OR(G155&lt;&gt;"",H155&lt;&gt;""),1,0) + IF(OR(I155&lt;&gt;"",J155&lt;&gt;""),1,0) + IF(OR(K155&lt;&gt;"",L155&lt;&gt;""),1,0) + IF(OR(M155&lt;&gt;"",N155&lt;&gt;""),1,0)</f>
        <v/>
      </c>
      <c r="P155" s="5">
        <f>IF(O155=4,"✅ Đủ 4 nhiệm vụ",IF(O155&gt;0,"⏳ Đạt "&amp;O155&amp;"/4","❌ Chưa nộp"))</f>
        <v/>
      </c>
    </row>
    <row r="156">
      <c r="A156" s="5" t="n">
        <v>152</v>
      </c>
      <c r="B156" s="5" t="inlineStr">
        <is>
          <t>Tuần 3</t>
        </is>
      </c>
      <c r="C156" s="5" t="inlineStr">
        <is>
          <t>Thứ 5</t>
        </is>
      </c>
      <c r="D156" s="5" t="inlineStr">
        <is>
          <t>24/09/2026</t>
        </is>
      </c>
      <c r="E156" s="5" t="inlineStr">
        <is>
          <t>Ngày 17</t>
        </is>
      </c>
      <c r="F156" s="6" t="inlineStr">
        <is>
          <t>Trần Quế Lam</t>
        </is>
      </c>
      <c r="G156" s="18" t="inlineStr"/>
      <c r="H156" s="18" t="inlineStr"/>
      <c r="I156" s="18" t="inlineStr"/>
      <c r="J156" s="18" t="inlineStr"/>
      <c r="K156" s="18" t="inlineStr"/>
      <c r="L156" s="18" t="inlineStr"/>
      <c r="M156" s="18" t="inlineStr"/>
      <c r="N156" s="18" t="inlineStr"/>
      <c r="O156" s="7">
        <f>IF(OR(G156&lt;&gt;"",H156&lt;&gt;""),1,0) + IF(OR(I156&lt;&gt;"",J156&lt;&gt;""),1,0) + IF(OR(K156&lt;&gt;"",L156&lt;&gt;""),1,0) + IF(OR(M156&lt;&gt;"",N156&lt;&gt;""),1,0)</f>
        <v/>
      </c>
      <c r="P156" s="5">
        <f>IF(O156=4,"✅ Đủ 4 nhiệm vụ",IF(O156&gt;0,"⏳ Đạt "&amp;O156&amp;"/4","❌ Chưa nộp"))</f>
        <v/>
      </c>
    </row>
    <row r="157">
      <c r="A157" s="5" t="n">
        <v>153</v>
      </c>
      <c r="B157" s="5" t="inlineStr">
        <is>
          <t>Tuần 3</t>
        </is>
      </c>
      <c r="C157" s="5" t="inlineStr">
        <is>
          <t>Thứ 5</t>
        </is>
      </c>
      <c r="D157" s="5" t="inlineStr">
        <is>
          <t>24/09/2026</t>
        </is>
      </c>
      <c r="E157" s="5" t="inlineStr">
        <is>
          <t>Ngày 17</t>
        </is>
      </c>
      <c r="F157" s="6" t="inlineStr">
        <is>
          <t>Phạm Huyền</t>
        </is>
      </c>
      <c r="G157" s="18" t="inlineStr"/>
      <c r="H157" s="18" t="inlineStr"/>
      <c r="I157" s="18" t="inlineStr"/>
      <c r="J157" s="18" t="inlineStr"/>
      <c r="K157" s="18" t="inlineStr"/>
      <c r="L157" s="18" t="inlineStr"/>
      <c r="M157" s="18" t="inlineStr"/>
      <c r="N157" s="18" t="inlineStr"/>
      <c r="O157" s="7">
        <f>IF(OR(G157&lt;&gt;"",H157&lt;&gt;""),1,0) + IF(OR(I157&lt;&gt;"",J157&lt;&gt;""),1,0) + IF(OR(K157&lt;&gt;"",L157&lt;&gt;""),1,0) + IF(OR(M157&lt;&gt;"",N157&lt;&gt;""),1,0)</f>
        <v/>
      </c>
      <c r="P157" s="5">
        <f>IF(O157=4,"✅ Đủ 4 nhiệm vụ",IF(O157&gt;0,"⏳ Đạt "&amp;O157&amp;"/4","❌ Chưa nộp"))</f>
        <v/>
      </c>
    </row>
    <row r="158">
      <c r="A158" s="9" t="n">
        <v>154</v>
      </c>
      <c r="B158" s="9" t="inlineStr">
        <is>
          <t>Tuần 3</t>
        </is>
      </c>
      <c r="C158" s="9" t="inlineStr">
        <is>
          <t>Thứ 6</t>
        </is>
      </c>
      <c r="D158" s="9" t="inlineStr">
        <is>
          <t>25/09/2026</t>
        </is>
      </c>
      <c r="E158" s="9" t="inlineStr">
        <is>
          <t>Ngày 18</t>
        </is>
      </c>
      <c r="F158" s="10" t="inlineStr">
        <is>
          <t>Nancy</t>
        </is>
      </c>
      <c r="G158" s="19" t="inlineStr"/>
      <c r="H158" s="19" t="inlineStr"/>
      <c r="I158" s="19" t="inlineStr"/>
      <c r="J158" s="19" t="inlineStr"/>
      <c r="K158" s="19" t="inlineStr"/>
      <c r="L158" s="19" t="inlineStr"/>
      <c r="M158" s="19" t="inlineStr"/>
      <c r="N158" s="19" t="inlineStr"/>
      <c r="O158" s="11">
        <f>IF(OR(G158&lt;&gt;"",H158&lt;&gt;""),1,0) + IF(OR(I158&lt;&gt;"",J158&lt;&gt;""),1,0) + IF(OR(K158&lt;&gt;"",L158&lt;&gt;""),1,0) + IF(OR(M158&lt;&gt;"",N158&lt;&gt;""),1,0)</f>
        <v/>
      </c>
      <c r="P158" s="9">
        <f>IF(O158=4,"✅ Đủ 4 nhiệm vụ",IF(O158&gt;0,"⏳ Đạt "&amp;O158&amp;"/4","❌ Chưa nộp"))</f>
        <v/>
      </c>
    </row>
    <row r="159">
      <c r="A159" s="9" t="n">
        <v>155</v>
      </c>
      <c r="B159" s="9" t="inlineStr">
        <is>
          <t>Tuần 3</t>
        </is>
      </c>
      <c r="C159" s="9" t="inlineStr">
        <is>
          <t>Thứ 6</t>
        </is>
      </c>
      <c r="D159" s="9" t="inlineStr">
        <is>
          <t>25/09/2026</t>
        </is>
      </c>
      <c r="E159" s="9" t="inlineStr">
        <is>
          <t>Ngày 18</t>
        </is>
      </c>
      <c r="F159" s="10" t="inlineStr">
        <is>
          <t>Hoài Học Mãi</t>
        </is>
      </c>
      <c r="G159" s="19" t="inlineStr"/>
      <c r="H159" s="19" t="inlineStr"/>
      <c r="I159" s="19" t="inlineStr"/>
      <c r="J159" s="19" t="inlineStr"/>
      <c r="K159" s="19" t="inlineStr"/>
      <c r="L159" s="19" t="inlineStr"/>
      <c r="M159" s="19" t="inlineStr"/>
      <c r="N159" s="19" t="inlineStr"/>
      <c r="O159" s="11">
        <f>IF(OR(G159&lt;&gt;"",H159&lt;&gt;""),1,0) + IF(OR(I159&lt;&gt;"",J159&lt;&gt;""),1,0) + IF(OR(K159&lt;&gt;"",L159&lt;&gt;""),1,0) + IF(OR(M159&lt;&gt;"",N159&lt;&gt;""),1,0)</f>
        <v/>
      </c>
      <c r="P159" s="9">
        <f>IF(O159=4,"✅ Đủ 4 nhiệm vụ",IF(O159&gt;0,"⏳ Đạt "&amp;O159&amp;"/4","❌ Chưa nộp"))</f>
        <v/>
      </c>
    </row>
    <row r="160">
      <c r="A160" s="9" t="n">
        <v>156</v>
      </c>
      <c r="B160" s="9" t="inlineStr">
        <is>
          <t>Tuần 3</t>
        </is>
      </c>
      <c r="C160" s="9" t="inlineStr">
        <is>
          <t>Thứ 6</t>
        </is>
      </c>
      <c r="D160" s="9" t="inlineStr">
        <is>
          <t>25/09/2026</t>
        </is>
      </c>
      <c r="E160" s="9" t="inlineStr">
        <is>
          <t>Ngày 18</t>
        </is>
      </c>
      <c r="F160" s="10" t="inlineStr">
        <is>
          <t>Lambee</t>
        </is>
      </c>
      <c r="G160" s="19" t="inlineStr"/>
      <c r="H160" s="19" t="inlineStr"/>
      <c r="I160" s="19" t="inlineStr"/>
      <c r="J160" s="19" t="inlineStr"/>
      <c r="K160" s="19" t="inlineStr"/>
      <c r="L160" s="19" t="inlineStr"/>
      <c r="M160" s="19" t="inlineStr"/>
      <c r="N160" s="19" t="inlineStr"/>
      <c r="O160" s="11">
        <f>IF(OR(G160&lt;&gt;"",H160&lt;&gt;""),1,0) + IF(OR(I160&lt;&gt;"",J160&lt;&gt;""),1,0) + IF(OR(K160&lt;&gt;"",L160&lt;&gt;""),1,0) + IF(OR(M160&lt;&gt;"",N160&lt;&gt;""),1,0)</f>
        <v/>
      </c>
      <c r="P160" s="9">
        <f>IF(O160=4,"✅ Đủ 4 nhiệm vụ",IF(O160&gt;0,"⏳ Đạt "&amp;O160&amp;"/4","❌ Chưa nộp"))</f>
        <v/>
      </c>
    </row>
    <row r="161">
      <c r="A161" s="9" t="n">
        <v>157</v>
      </c>
      <c r="B161" s="9" t="inlineStr">
        <is>
          <t>Tuần 3</t>
        </is>
      </c>
      <c r="C161" s="9" t="inlineStr">
        <is>
          <t>Thứ 6</t>
        </is>
      </c>
      <c r="D161" s="9" t="inlineStr">
        <is>
          <t>25/09/2026</t>
        </is>
      </c>
      <c r="E161" s="9" t="inlineStr">
        <is>
          <t>Ngày 18</t>
        </is>
      </c>
      <c r="F161" s="10" t="inlineStr">
        <is>
          <t>Nhung Hoàng</t>
        </is>
      </c>
      <c r="G161" s="19" t="inlineStr"/>
      <c r="H161" s="19" t="inlineStr"/>
      <c r="I161" s="19" t="inlineStr"/>
      <c r="J161" s="19" t="inlineStr"/>
      <c r="K161" s="19" t="inlineStr"/>
      <c r="L161" s="19" t="inlineStr"/>
      <c r="M161" s="19" t="inlineStr"/>
      <c r="N161" s="19" t="inlineStr"/>
      <c r="O161" s="11">
        <f>IF(OR(G161&lt;&gt;"",H161&lt;&gt;""),1,0) + IF(OR(I161&lt;&gt;"",J161&lt;&gt;""),1,0) + IF(OR(K161&lt;&gt;"",L161&lt;&gt;""),1,0) + IF(OR(M161&lt;&gt;"",N161&lt;&gt;""),1,0)</f>
        <v/>
      </c>
      <c r="P161" s="9">
        <f>IF(O161=4,"✅ Đủ 4 nhiệm vụ",IF(O161&gt;0,"⏳ Đạt "&amp;O161&amp;"/4","❌ Chưa nộp"))</f>
        <v/>
      </c>
    </row>
    <row r="162">
      <c r="A162" s="9" t="n">
        <v>158</v>
      </c>
      <c r="B162" s="9" t="inlineStr">
        <is>
          <t>Tuần 3</t>
        </is>
      </c>
      <c r="C162" s="9" t="inlineStr">
        <is>
          <t>Thứ 6</t>
        </is>
      </c>
      <c r="D162" s="9" t="inlineStr">
        <is>
          <t>25/09/2026</t>
        </is>
      </c>
      <c r="E162" s="9" t="inlineStr">
        <is>
          <t>Ngày 18</t>
        </is>
      </c>
      <c r="F162" s="10" t="inlineStr">
        <is>
          <t>Quỳnh Thu</t>
        </is>
      </c>
      <c r="G162" s="19" t="inlineStr"/>
      <c r="H162" s="19" t="inlineStr"/>
      <c r="I162" s="19" t="inlineStr"/>
      <c r="J162" s="19" t="inlineStr"/>
      <c r="K162" s="19" t="inlineStr"/>
      <c r="L162" s="19" t="inlineStr"/>
      <c r="M162" s="19" t="inlineStr"/>
      <c r="N162" s="19" t="inlineStr"/>
      <c r="O162" s="11">
        <f>IF(OR(G162&lt;&gt;"",H162&lt;&gt;""),1,0) + IF(OR(I162&lt;&gt;"",J162&lt;&gt;""),1,0) + IF(OR(K162&lt;&gt;"",L162&lt;&gt;""),1,0) + IF(OR(M162&lt;&gt;"",N162&lt;&gt;""),1,0)</f>
        <v/>
      </c>
      <c r="P162" s="9">
        <f>IF(O162=4,"✅ Đủ 4 nhiệm vụ",IF(O162&gt;0,"⏳ Đạt "&amp;O162&amp;"/4","❌ Chưa nộp"))</f>
        <v/>
      </c>
    </row>
    <row r="163">
      <c r="A163" s="9" t="n">
        <v>159</v>
      </c>
      <c r="B163" s="9" t="inlineStr">
        <is>
          <t>Tuần 3</t>
        </is>
      </c>
      <c r="C163" s="9" t="inlineStr">
        <is>
          <t>Thứ 6</t>
        </is>
      </c>
      <c r="D163" s="9" t="inlineStr">
        <is>
          <t>25/09/2026</t>
        </is>
      </c>
      <c r="E163" s="9" t="inlineStr">
        <is>
          <t>Ngày 18</t>
        </is>
      </c>
      <c r="F163" s="10" t="inlineStr">
        <is>
          <t>TanAnh Pham</t>
        </is>
      </c>
      <c r="G163" s="19" t="inlineStr"/>
      <c r="H163" s="19" t="inlineStr"/>
      <c r="I163" s="19" t="inlineStr"/>
      <c r="J163" s="19" t="inlineStr"/>
      <c r="K163" s="19" t="inlineStr"/>
      <c r="L163" s="19" t="inlineStr"/>
      <c r="M163" s="19" t="inlineStr"/>
      <c r="N163" s="19" t="inlineStr"/>
      <c r="O163" s="11">
        <f>IF(OR(G163&lt;&gt;"",H163&lt;&gt;""),1,0) + IF(OR(I163&lt;&gt;"",J163&lt;&gt;""),1,0) + IF(OR(K163&lt;&gt;"",L163&lt;&gt;""),1,0) + IF(OR(M163&lt;&gt;"",N163&lt;&gt;""),1,0)</f>
        <v/>
      </c>
      <c r="P163" s="9">
        <f>IF(O163=4,"✅ Đủ 4 nhiệm vụ",IF(O163&gt;0,"⏳ Đạt "&amp;O163&amp;"/4","❌ Chưa nộp"))</f>
        <v/>
      </c>
    </row>
    <row r="164">
      <c r="A164" s="9" t="n">
        <v>160</v>
      </c>
      <c r="B164" s="9" t="inlineStr">
        <is>
          <t>Tuần 3</t>
        </is>
      </c>
      <c r="C164" s="9" t="inlineStr">
        <is>
          <t>Thứ 6</t>
        </is>
      </c>
      <c r="D164" s="9" t="inlineStr">
        <is>
          <t>25/09/2026</t>
        </is>
      </c>
      <c r="E164" s="9" t="inlineStr">
        <is>
          <t>Ngày 18</t>
        </is>
      </c>
      <c r="F164" s="10" t="inlineStr">
        <is>
          <t>Thảo Collins Edu</t>
        </is>
      </c>
      <c r="G164" s="19" t="inlineStr"/>
      <c r="H164" s="19" t="inlineStr"/>
      <c r="I164" s="19" t="inlineStr"/>
      <c r="J164" s="19" t="inlineStr"/>
      <c r="K164" s="19" t="inlineStr"/>
      <c r="L164" s="19" t="inlineStr"/>
      <c r="M164" s="19" t="inlineStr"/>
      <c r="N164" s="19" t="inlineStr"/>
      <c r="O164" s="11">
        <f>IF(OR(G164&lt;&gt;"",H164&lt;&gt;""),1,0) + IF(OR(I164&lt;&gt;"",J164&lt;&gt;""),1,0) + IF(OR(K164&lt;&gt;"",L164&lt;&gt;""),1,0) + IF(OR(M164&lt;&gt;"",N164&lt;&gt;""),1,0)</f>
        <v/>
      </c>
      <c r="P164" s="9">
        <f>IF(O164=4,"✅ Đủ 4 nhiệm vụ",IF(O164&gt;0,"⏳ Đạt "&amp;O164&amp;"/4","❌ Chưa nộp"))</f>
        <v/>
      </c>
    </row>
    <row r="165">
      <c r="A165" s="9" t="n">
        <v>161</v>
      </c>
      <c r="B165" s="9" t="inlineStr">
        <is>
          <t>Tuần 3</t>
        </is>
      </c>
      <c r="C165" s="9" t="inlineStr">
        <is>
          <t>Thứ 6</t>
        </is>
      </c>
      <c r="D165" s="9" t="inlineStr">
        <is>
          <t>25/09/2026</t>
        </is>
      </c>
      <c r="E165" s="9" t="inlineStr">
        <is>
          <t>Ngày 18</t>
        </is>
      </c>
      <c r="F165" s="10" t="inlineStr">
        <is>
          <t>Trần Quế Lam</t>
        </is>
      </c>
      <c r="G165" s="19" t="inlineStr"/>
      <c r="H165" s="19" t="inlineStr"/>
      <c r="I165" s="19" t="inlineStr"/>
      <c r="J165" s="19" t="inlineStr"/>
      <c r="K165" s="19" t="inlineStr"/>
      <c r="L165" s="19" t="inlineStr"/>
      <c r="M165" s="19" t="inlineStr"/>
      <c r="N165" s="19" t="inlineStr"/>
      <c r="O165" s="11">
        <f>IF(OR(G165&lt;&gt;"",H165&lt;&gt;""),1,0) + IF(OR(I165&lt;&gt;"",J165&lt;&gt;""),1,0) + IF(OR(K165&lt;&gt;"",L165&lt;&gt;""),1,0) + IF(OR(M165&lt;&gt;"",N165&lt;&gt;""),1,0)</f>
        <v/>
      </c>
      <c r="P165" s="9">
        <f>IF(O165=4,"✅ Đủ 4 nhiệm vụ",IF(O165&gt;0,"⏳ Đạt "&amp;O165&amp;"/4","❌ Chưa nộp"))</f>
        <v/>
      </c>
    </row>
    <row r="166">
      <c r="A166" s="9" t="n">
        <v>162</v>
      </c>
      <c r="B166" s="9" t="inlineStr">
        <is>
          <t>Tuần 3</t>
        </is>
      </c>
      <c r="C166" s="9" t="inlineStr">
        <is>
          <t>Thứ 6</t>
        </is>
      </c>
      <c r="D166" s="9" t="inlineStr">
        <is>
          <t>25/09/2026</t>
        </is>
      </c>
      <c r="E166" s="9" t="inlineStr">
        <is>
          <t>Ngày 18</t>
        </is>
      </c>
      <c r="F166" s="10" t="inlineStr">
        <is>
          <t>Phạm Huyền</t>
        </is>
      </c>
      <c r="G166" s="19" t="inlineStr"/>
      <c r="H166" s="19" t="inlineStr"/>
      <c r="I166" s="19" t="inlineStr"/>
      <c r="J166" s="19" t="inlineStr"/>
      <c r="K166" s="19" t="inlineStr"/>
      <c r="L166" s="19" t="inlineStr"/>
      <c r="M166" s="19" t="inlineStr"/>
      <c r="N166" s="19" t="inlineStr"/>
      <c r="O166" s="11">
        <f>IF(OR(G166&lt;&gt;"",H166&lt;&gt;""),1,0) + IF(OR(I166&lt;&gt;"",J166&lt;&gt;""),1,0) + IF(OR(K166&lt;&gt;"",L166&lt;&gt;""),1,0) + IF(OR(M166&lt;&gt;"",N166&lt;&gt;""),1,0)</f>
        <v/>
      </c>
      <c r="P166" s="9">
        <f>IF(O166=4,"✅ Đủ 4 nhiệm vụ",IF(O166&gt;0,"⏳ Đạt "&amp;O166&amp;"/4","❌ Chưa nộp"))</f>
        <v/>
      </c>
    </row>
    <row r="167">
      <c r="A167" s="5" t="n">
        <v>163</v>
      </c>
      <c r="B167" s="5" t="inlineStr">
        <is>
          <t>Tuần 3</t>
        </is>
      </c>
      <c r="C167" s="5" t="inlineStr">
        <is>
          <t>Thứ 7</t>
        </is>
      </c>
      <c r="D167" s="5" t="inlineStr">
        <is>
          <t>26/09/2026</t>
        </is>
      </c>
      <c r="E167" s="5" t="inlineStr">
        <is>
          <t>Ngày 19</t>
        </is>
      </c>
      <c r="F167" s="6" t="inlineStr">
        <is>
          <t>Nancy</t>
        </is>
      </c>
      <c r="G167" s="18" t="inlineStr"/>
      <c r="H167" s="18" t="inlineStr"/>
      <c r="I167" s="18" t="inlineStr"/>
      <c r="J167" s="18" t="inlineStr"/>
      <c r="K167" s="18" t="inlineStr"/>
      <c r="L167" s="18" t="inlineStr"/>
      <c r="M167" s="18" t="inlineStr"/>
      <c r="N167" s="18" t="inlineStr"/>
      <c r="O167" s="7">
        <f>IF(OR(G167&lt;&gt;"",H167&lt;&gt;""),1,0) + IF(OR(I167&lt;&gt;"",J167&lt;&gt;""),1,0) + IF(OR(K167&lt;&gt;"",L167&lt;&gt;""),1,0) + IF(OR(M167&lt;&gt;"",N167&lt;&gt;""),1,0)</f>
        <v/>
      </c>
      <c r="P167" s="5">
        <f>IF(O167=4,"✅ Đủ 4 nhiệm vụ",IF(O167&gt;0,"⏳ Đạt "&amp;O167&amp;"/4","❌ Chưa nộp"))</f>
        <v/>
      </c>
    </row>
    <row r="168">
      <c r="A168" s="5" t="n">
        <v>164</v>
      </c>
      <c r="B168" s="5" t="inlineStr">
        <is>
          <t>Tuần 3</t>
        </is>
      </c>
      <c r="C168" s="5" t="inlineStr">
        <is>
          <t>Thứ 7</t>
        </is>
      </c>
      <c r="D168" s="5" t="inlineStr">
        <is>
          <t>26/09/2026</t>
        </is>
      </c>
      <c r="E168" s="5" t="inlineStr">
        <is>
          <t>Ngày 19</t>
        </is>
      </c>
      <c r="F168" s="6" t="inlineStr">
        <is>
          <t>Hoài Học Mãi</t>
        </is>
      </c>
      <c r="G168" s="18" t="inlineStr"/>
      <c r="H168" s="18" t="inlineStr"/>
      <c r="I168" s="18" t="inlineStr"/>
      <c r="J168" s="18" t="inlineStr"/>
      <c r="K168" s="18" t="inlineStr"/>
      <c r="L168" s="18" t="inlineStr"/>
      <c r="M168" s="18" t="inlineStr"/>
      <c r="N168" s="18" t="inlineStr"/>
      <c r="O168" s="7">
        <f>IF(OR(G168&lt;&gt;"",H168&lt;&gt;""),1,0) + IF(OR(I168&lt;&gt;"",J168&lt;&gt;""),1,0) + IF(OR(K168&lt;&gt;"",L168&lt;&gt;""),1,0) + IF(OR(M168&lt;&gt;"",N168&lt;&gt;""),1,0)</f>
        <v/>
      </c>
      <c r="P168" s="5">
        <f>IF(O168=4,"✅ Đủ 4 nhiệm vụ",IF(O168&gt;0,"⏳ Đạt "&amp;O168&amp;"/4","❌ Chưa nộp"))</f>
        <v/>
      </c>
    </row>
    <row r="169">
      <c r="A169" s="5" t="n">
        <v>165</v>
      </c>
      <c r="B169" s="5" t="inlineStr">
        <is>
          <t>Tuần 3</t>
        </is>
      </c>
      <c r="C169" s="5" t="inlineStr">
        <is>
          <t>Thứ 7</t>
        </is>
      </c>
      <c r="D169" s="5" t="inlineStr">
        <is>
          <t>26/09/2026</t>
        </is>
      </c>
      <c r="E169" s="5" t="inlineStr">
        <is>
          <t>Ngày 19</t>
        </is>
      </c>
      <c r="F169" s="6" t="inlineStr">
        <is>
          <t>Lambee</t>
        </is>
      </c>
      <c r="G169" s="18" t="inlineStr"/>
      <c r="H169" s="18" t="inlineStr"/>
      <c r="I169" s="18" t="inlineStr"/>
      <c r="J169" s="18" t="inlineStr"/>
      <c r="K169" s="18" t="inlineStr"/>
      <c r="L169" s="18" t="inlineStr"/>
      <c r="M169" s="18" t="inlineStr"/>
      <c r="N169" s="18" t="inlineStr"/>
      <c r="O169" s="7">
        <f>IF(OR(G169&lt;&gt;"",H169&lt;&gt;""),1,0) + IF(OR(I169&lt;&gt;"",J169&lt;&gt;""),1,0) + IF(OR(K169&lt;&gt;"",L169&lt;&gt;""),1,0) + IF(OR(M169&lt;&gt;"",N169&lt;&gt;""),1,0)</f>
        <v/>
      </c>
      <c r="P169" s="5">
        <f>IF(O169=4,"✅ Đủ 4 nhiệm vụ",IF(O169&gt;0,"⏳ Đạt "&amp;O169&amp;"/4","❌ Chưa nộp"))</f>
        <v/>
      </c>
    </row>
    <row r="170">
      <c r="A170" s="5" t="n">
        <v>166</v>
      </c>
      <c r="B170" s="5" t="inlineStr">
        <is>
          <t>Tuần 3</t>
        </is>
      </c>
      <c r="C170" s="5" t="inlineStr">
        <is>
          <t>Thứ 7</t>
        </is>
      </c>
      <c r="D170" s="5" t="inlineStr">
        <is>
          <t>26/09/2026</t>
        </is>
      </c>
      <c r="E170" s="5" t="inlineStr">
        <is>
          <t>Ngày 19</t>
        </is>
      </c>
      <c r="F170" s="6" t="inlineStr">
        <is>
          <t>Nhung Hoàng</t>
        </is>
      </c>
      <c r="G170" s="18" t="inlineStr"/>
      <c r="H170" s="18" t="inlineStr"/>
      <c r="I170" s="18" t="inlineStr"/>
      <c r="J170" s="18" t="inlineStr"/>
      <c r="K170" s="18" t="inlineStr"/>
      <c r="L170" s="18" t="inlineStr"/>
      <c r="M170" s="18" t="inlineStr"/>
      <c r="N170" s="18" t="inlineStr"/>
      <c r="O170" s="7">
        <f>IF(OR(G170&lt;&gt;"",H170&lt;&gt;""),1,0) + IF(OR(I170&lt;&gt;"",J170&lt;&gt;""),1,0) + IF(OR(K170&lt;&gt;"",L170&lt;&gt;""),1,0) + IF(OR(M170&lt;&gt;"",N170&lt;&gt;""),1,0)</f>
        <v/>
      </c>
      <c r="P170" s="5">
        <f>IF(O170=4,"✅ Đủ 4 nhiệm vụ",IF(O170&gt;0,"⏳ Đạt "&amp;O170&amp;"/4","❌ Chưa nộp"))</f>
        <v/>
      </c>
    </row>
    <row r="171">
      <c r="A171" s="5" t="n">
        <v>167</v>
      </c>
      <c r="B171" s="5" t="inlineStr">
        <is>
          <t>Tuần 3</t>
        </is>
      </c>
      <c r="C171" s="5" t="inlineStr">
        <is>
          <t>Thứ 7</t>
        </is>
      </c>
      <c r="D171" s="5" t="inlineStr">
        <is>
          <t>26/09/2026</t>
        </is>
      </c>
      <c r="E171" s="5" t="inlineStr">
        <is>
          <t>Ngày 19</t>
        </is>
      </c>
      <c r="F171" s="6" t="inlineStr">
        <is>
          <t>Quỳnh Thu</t>
        </is>
      </c>
      <c r="G171" s="18" t="inlineStr"/>
      <c r="H171" s="18" t="inlineStr"/>
      <c r="I171" s="18" t="inlineStr"/>
      <c r="J171" s="18" t="inlineStr"/>
      <c r="K171" s="18" t="inlineStr"/>
      <c r="L171" s="18" t="inlineStr"/>
      <c r="M171" s="18" t="inlineStr"/>
      <c r="N171" s="18" t="inlineStr"/>
      <c r="O171" s="7">
        <f>IF(OR(G171&lt;&gt;"",H171&lt;&gt;""),1,0) + IF(OR(I171&lt;&gt;"",J171&lt;&gt;""),1,0) + IF(OR(K171&lt;&gt;"",L171&lt;&gt;""),1,0) + IF(OR(M171&lt;&gt;"",N171&lt;&gt;""),1,0)</f>
        <v/>
      </c>
      <c r="P171" s="5">
        <f>IF(O171=4,"✅ Đủ 4 nhiệm vụ",IF(O171&gt;0,"⏳ Đạt "&amp;O171&amp;"/4","❌ Chưa nộp"))</f>
        <v/>
      </c>
    </row>
    <row r="172">
      <c r="A172" s="5" t="n">
        <v>168</v>
      </c>
      <c r="B172" s="5" t="inlineStr">
        <is>
          <t>Tuần 3</t>
        </is>
      </c>
      <c r="C172" s="5" t="inlineStr">
        <is>
          <t>Thứ 7</t>
        </is>
      </c>
      <c r="D172" s="5" t="inlineStr">
        <is>
          <t>26/09/2026</t>
        </is>
      </c>
      <c r="E172" s="5" t="inlineStr">
        <is>
          <t>Ngày 19</t>
        </is>
      </c>
      <c r="F172" s="6" t="inlineStr">
        <is>
          <t>TanAnh Pham</t>
        </is>
      </c>
      <c r="G172" s="18" t="inlineStr"/>
      <c r="H172" s="18" t="inlineStr"/>
      <c r="I172" s="18" t="inlineStr"/>
      <c r="J172" s="18" t="inlineStr"/>
      <c r="K172" s="18" t="inlineStr"/>
      <c r="L172" s="18" t="inlineStr"/>
      <c r="M172" s="18" t="inlineStr"/>
      <c r="N172" s="18" t="inlineStr"/>
      <c r="O172" s="7">
        <f>IF(OR(G172&lt;&gt;"",H172&lt;&gt;""),1,0) + IF(OR(I172&lt;&gt;"",J172&lt;&gt;""),1,0) + IF(OR(K172&lt;&gt;"",L172&lt;&gt;""),1,0) + IF(OR(M172&lt;&gt;"",N172&lt;&gt;""),1,0)</f>
        <v/>
      </c>
      <c r="P172" s="5">
        <f>IF(O172=4,"✅ Đủ 4 nhiệm vụ",IF(O172&gt;0,"⏳ Đạt "&amp;O172&amp;"/4","❌ Chưa nộp"))</f>
        <v/>
      </c>
    </row>
    <row r="173">
      <c r="A173" s="5" t="n">
        <v>169</v>
      </c>
      <c r="B173" s="5" t="inlineStr">
        <is>
          <t>Tuần 3</t>
        </is>
      </c>
      <c r="C173" s="5" t="inlineStr">
        <is>
          <t>Thứ 7</t>
        </is>
      </c>
      <c r="D173" s="5" t="inlineStr">
        <is>
          <t>26/09/2026</t>
        </is>
      </c>
      <c r="E173" s="5" t="inlineStr">
        <is>
          <t>Ngày 19</t>
        </is>
      </c>
      <c r="F173" s="6" t="inlineStr">
        <is>
          <t>Thảo Collins Edu</t>
        </is>
      </c>
      <c r="G173" s="18" t="inlineStr"/>
      <c r="H173" s="18" t="inlineStr"/>
      <c r="I173" s="18" t="inlineStr"/>
      <c r="J173" s="18" t="inlineStr"/>
      <c r="K173" s="18" t="inlineStr"/>
      <c r="L173" s="18" t="inlineStr"/>
      <c r="M173" s="18" t="inlineStr"/>
      <c r="N173" s="18" t="inlineStr"/>
      <c r="O173" s="7">
        <f>IF(OR(G173&lt;&gt;"",H173&lt;&gt;""),1,0) + IF(OR(I173&lt;&gt;"",J173&lt;&gt;""),1,0) + IF(OR(K173&lt;&gt;"",L173&lt;&gt;""),1,0) + IF(OR(M173&lt;&gt;"",N173&lt;&gt;""),1,0)</f>
        <v/>
      </c>
      <c r="P173" s="5">
        <f>IF(O173=4,"✅ Đủ 4 nhiệm vụ",IF(O173&gt;0,"⏳ Đạt "&amp;O173&amp;"/4","❌ Chưa nộp"))</f>
        <v/>
      </c>
    </row>
    <row r="174">
      <c r="A174" s="5" t="n">
        <v>170</v>
      </c>
      <c r="B174" s="5" t="inlineStr">
        <is>
          <t>Tuần 3</t>
        </is>
      </c>
      <c r="C174" s="5" t="inlineStr">
        <is>
          <t>Thứ 7</t>
        </is>
      </c>
      <c r="D174" s="5" t="inlineStr">
        <is>
          <t>26/09/2026</t>
        </is>
      </c>
      <c r="E174" s="5" t="inlineStr">
        <is>
          <t>Ngày 19</t>
        </is>
      </c>
      <c r="F174" s="6" t="inlineStr">
        <is>
          <t>Trần Quế Lam</t>
        </is>
      </c>
      <c r="G174" s="18" t="inlineStr"/>
      <c r="H174" s="18" t="inlineStr"/>
      <c r="I174" s="18" t="inlineStr"/>
      <c r="J174" s="18" t="inlineStr"/>
      <c r="K174" s="18" t="inlineStr"/>
      <c r="L174" s="18" t="inlineStr"/>
      <c r="M174" s="18" t="inlineStr"/>
      <c r="N174" s="18" t="inlineStr"/>
      <c r="O174" s="7">
        <f>IF(OR(G174&lt;&gt;"",H174&lt;&gt;""),1,0) + IF(OR(I174&lt;&gt;"",J174&lt;&gt;""),1,0) + IF(OR(K174&lt;&gt;"",L174&lt;&gt;""),1,0) + IF(OR(M174&lt;&gt;"",N174&lt;&gt;""),1,0)</f>
        <v/>
      </c>
      <c r="P174" s="5">
        <f>IF(O174=4,"✅ Đủ 4 nhiệm vụ",IF(O174&gt;0,"⏳ Đạt "&amp;O174&amp;"/4","❌ Chưa nộp"))</f>
        <v/>
      </c>
    </row>
    <row r="175">
      <c r="A175" s="5" t="n">
        <v>171</v>
      </c>
      <c r="B175" s="5" t="inlineStr">
        <is>
          <t>Tuần 3</t>
        </is>
      </c>
      <c r="C175" s="5" t="inlineStr">
        <is>
          <t>Thứ 7</t>
        </is>
      </c>
      <c r="D175" s="5" t="inlineStr">
        <is>
          <t>26/09/2026</t>
        </is>
      </c>
      <c r="E175" s="5" t="inlineStr">
        <is>
          <t>Ngày 19</t>
        </is>
      </c>
      <c r="F175" s="6" t="inlineStr">
        <is>
          <t>Phạm Huyền</t>
        </is>
      </c>
      <c r="G175" s="18" t="inlineStr"/>
      <c r="H175" s="18" t="inlineStr"/>
      <c r="I175" s="18" t="inlineStr"/>
      <c r="J175" s="18" t="inlineStr"/>
      <c r="K175" s="18" t="inlineStr"/>
      <c r="L175" s="18" t="inlineStr"/>
      <c r="M175" s="18" t="inlineStr"/>
      <c r="N175" s="18" t="inlineStr"/>
      <c r="O175" s="7">
        <f>IF(OR(G175&lt;&gt;"",H175&lt;&gt;""),1,0) + IF(OR(I175&lt;&gt;"",J175&lt;&gt;""),1,0) + IF(OR(K175&lt;&gt;"",L175&lt;&gt;""),1,0) + IF(OR(M175&lt;&gt;"",N175&lt;&gt;""),1,0)</f>
        <v/>
      </c>
      <c r="P175" s="5">
        <f>IF(O175=4,"✅ Đủ 4 nhiệm vụ",IF(O175&gt;0,"⏳ Đạt "&amp;O175&amp;"/4","❌ Chưa nộp"))</f>
        <v/>
      </c>
    </row>
    <row r="176">
      <c r="A176" s="9" t="n">
        <v>172</v>
      </c>
      <c r="B176" s="9" t="inlineStr">
        <is>
          <t>Tuần 3</t>
        </is>
      </c>
      <c r="C176" s="9" t="inlineStr">
        <is>
          <t>Chủ Nhật</t>
        </is>
      </c>
      <c r="D176" s="9" t="inlineStr">
        <is>
          <t>27/09/2026</t>
        </is>
      </c>
      <c r="E176" s="9" t="inlineStr">
        <is>
          <t>Ngày 20</t>
        </is>
      </c>
      <c r="F176" s="10" t="inlineStr">
        <is>
          <t>Nancy</t>
        </is>
      </c>
      <c r="G176" s="19" t="inlineStr"/>
      <c r="H176" s="19" t="inlineStr"/>
      <c r="I176" s="19" t="inlineStr"/>
      <c r="J176" s="19" t="inlineStr"/>
      <c r="K176" s="19" t="inlineStr"/>
      <c r="L176" s="19" t="inlineStr"/>
      <c r="M176" s="19" t="inlineStr"/>
      <c r="N176" s="19" t="inlineStr"/>
      <c r="O176" s="11">
        <f>IF(OR(G176&lt;&gt;"",H176&lt;&gt;""),1,0) + IF(OR(I176&lt;&gt;"",J176&lt;&gt;""),1,0) + IF(OR(K176&lt;&gt;"",L176&lt;&gt;""),1,0) + IF(OR(M176&lt;&gt;"",N176&lt;&gt;""),1,0)</f>
        <v/>
      </c>
      <c r="P176" s="9">
        <f>IF(O176=4,"✅ Đủ 4 nhiệm vụ",IF(O176&gt;0,"⏳ Đạt "&amp;O176&amp;"/4","❌ Chưa nộp"))</f>
        <v/>
      </c>
    </row>
    <row r="177">
      <c r="A177" s="9" t="n">
        <v>173</v>
      </c>
      <c r="B177" s="9" t="inlineStr">
        <is>
          <t>Tuần 3</t>
        </is>
      </c>
      <c r="C177" s="9" t="inlineStr">
        <is>
          <t>Chủ Nhật</t>
        </is>
      </c>
      <c r="D177" s="9" t="inlineStr">
        <is>
          <t>27/09/2026</t>
        </is>
      </c>
      <c r="E177" s="9" t="inlineStr">
        <is>
          <t>Ngày 20</t>
        </is>
      </c>
      <c r="F177" s="10" t="inlineStr">
        <is>
          <t>Hoài Học Mãi</t>
        </is>
      </c>
      <c r="G177" s="19" t="inlineStr"/>
      <c r="H177" s="19" t="inlineStr"/>
      <c r="I177" s="19" t="inlineStr"/>
      <c r="J177" s="19" t="inlineStr"/>
      <c r="K177" s="19" t="inlineStr"/>
      <c r="L177" s="19" t="inlineStr"/>
      <c r="M177" s="19" t="inlineStr"/>
      <c r="N177" s="19" t="inlineStr"/>
      <c r="O177" s="11">
        <f>IF(OR(G177&lt;&gt;"",H177&lt;&gt;""),1,0) + IF(OR(I177&lt;&gt;"",J177&lt;&gt;""),1,0) + IF(OR(K177&lt;&gt;"",L177&lt;&gt;""),1,0) + IF(OR(M177&lt;&gt;"",N177&lt;&gt;""),1,0)</f>
        <v/>
      </c>
      <c r="P177" s="9">
        <f>IF(O177=4,"✅ Đủ 4 nhiệm vụ",IF(O177&gt;0,"⏳ Đạt "&amp;O177&amp;"/4","❌ Chưa nộp"))</f>
        <v/>
      </c>
    </row>
    <row r="178">
      <c r="A178" s="9" t="n">
        <v>174</v>
      </c>
      <c r="B178" s="9" t="inlineStr">
        <is>
          <t>Tuần 3</t>
        </is>
      </c>
      <c r="C178" s="9" t="inlineStr">
        <is>
          <t>Chủ Nhật</t>
        </is>
      </c>
      <c r="D178" s="9" t="inlineStr">
        <is>
          <t>27/09/2026</t>
        </is>
      </c>
      <c r="E178" s="9" t="inlineStr">
        <is>
          <t>Ngày 20</t>
        </is>
      </c>
      <c r="F178" s="10" t="inlineStr">
        <is>
          <t>Lambee</t>
        </is>
      </c>
      <c r="G178" s="19" t="inlineStr"/>
      <c r="H178" s="19" t="inlineStr"/>
      <c r="I178" s="19" t="inlineStr"/>
      <c r="J178" s="19" t="inlineStr"/>
      <c r="K178" s="19" t="inlineStr"/>
      <c r="L178" s="19" t="inlineStr"/>
      <c r="M178" s="19" t="inlineStr"/>
      <c r="N178" s="19" t="inlineStr"/>
      <c r="O178" s="11">
        <f>IF(OR(G178&lt;&gt;"",H178&lt;&gt;""),1,0) + IF(OR(I178&lt;&gt;"",J178&lt;&gt;""),1,0) + IF(OR(K178&lt;&gt;"",L178&lt;&gt;""),1,0) + IF(OR(M178&lt;&gt;"",N178&lt;&gt;""),1,0)</f>
        <v/>
      </c>
      <c r="P178" s="9">
        <f>IF(O178=4,"✅ Đủ 4 nhiệm vụ",IF(O178&gt;0,"⏳ Đạt "&amp;O178&amp;"/4","❌ Chưa nộp"))</f>
        <v/>
      </c>
    </row>
    <row r="179">
      <c r="A179" s="9" t="n">
        <v>175</v>
      </c>
      <c r="B179" s="9" t="inlineStr">
        <is>
          <t>Tuần 3</t>
        </is>
      </c>
      <c r="C179" s="9" t="inlineStr">
        <is>
          <t>Chủ Nhật</t>
        </is>
      </c>
      <c r="D179" s="9" t="inlineStr">
        <is>
          <t>27/09/2026</t>
        </is>
      </c>
      <c r="E179" s="9" t="inlineStr">
        <is>
          <t>Ngày 20</t>
        </is>
      </c>
      <c r="F179" s="10" t="inlineStr">
        <is>
          <t>Nhung Hoàng</t>
        </is>
      </c>
      <c r="G179" s="19" t="inlineStr"/>
      <c r="H179" s="19" t="inlineStr"/>
      <c r="I179" s="19" t="inlineStr"/>
      <c r="J179" s="19" t="inlineStr"/>
      <c r="K179" s="19" t="inlineStr"/>
      <c r="L179" s="19" t="inlineStr"/>
      <c r="M179" s="19" t="inlineStr"/>
      <c r="N179" s="19" t="inlineStr"/>
      <c r="O179" s="11">
        <f>IF(OR(G179&lt;&gt;"",H179&lt;&gt;""),1,0) + IF(OR(I179&lt;&gt;"",J179&lt;&gt;""),1,0) + IF(OR(K179&lt;&gt;"",L179&lt;&gt;""),1,0) + IF(OR(M179&lt;&gt;"",N179&lt;&gt;""),1,0)</f>
        <v/>
      </c>
      <c r="P179" s="9">
        <f>IF(O179=4,"✅ Đủ 4 nhiệm vụ",IF(O179&gt;0,"⏳ Đạt "&amp;O179&amp;"/4","❌ Chưa nộp"))</f>
        <v/>
      </c>
    </row>
    <row r="180">
      <c r="A180" s="9" t="n">
        <v>176</v>
      </c>
      <c r="B180" s="9" t="inlineStr">
        <is>
          <t>Tuần 3</t>
        </is>
      </c>
      <c r="C180" s="9" t="inlineStr">
        <is>
          <t>Chủ Nhật</t>
        </is>
      </c>
      <c r="D180" s="9" t="inlineStr">
        <is>
          <t>27/09/2026</t>
        </is>
      </c>
      <c r="E180" s="9" t="inlineStr">
        <is>
          <t>Ngày 20</t>
        </is>
      </c>
      <c r="F180" s="10" t="inlineStr">
        <is>
          <t>Quỳnh Thu</t>
        </is>
      </c>
      <c r="G180" s="19" t="inlineStr"/>
      <c r="H180" s="19" t="inlineStr"/>
      <c r="I180" s="19" t="inlineStr"/>
      <c r="J180" s="19" t="inlineStr"/>
      <c r="K180" s="19" t="inlineStr"/>
      <c r="L180" s="19" t="inlineStr"/>
      <c r="M180" s="19" t="inlineStr"/>
      <c r="N180" s="19" t="inlineStr"/>
      <c r="O180" s="11">
        <f>IF(OR(G180&lt;&gt;"",H180&lt;&gt;""),1,0) + IF(OR(I180&lt;&gt;"",J180&lt;&gt;""),1,0) + IF(OR(K180&lt;&gt;"",L180&lt;&gt;""),1,0) + IF(OR(M180&lt;&gt;"",N180&lt;&gt;""),1,0)</f>
        <v/>
      </c>
      <c r="P180" s="9">
        <f>IF(O180=4,"✅ Đủ 4 nhiệm vụ",IF(O180&gt;0,"⏳ Đạt "&amp;O180&amp;"/4","❌ Chưa nộp"))</f>
        <v/>
      </c>
    </row>
    <row r="181">
      <c r="A181" s="9" t="n">
        <v>177</v>
      </c>
      <c r="B181" s="9" t="inlineStr">
        <is>
          <t>Tuần 3</t>
        </is>
      </c>
      <c r="C181" s="9" t="inlineStr">
        <is>
          <t>Chủ Nhật</t>
        </is>
      </c>
      <c r="D181" s="9" t="inlineStr">
        <is>
          <t>27/09/2026</t>
        </is>
      </c>
      <c r="E181" s="9" t="inlineStr">
        <is>
          <t>Ngày 20</t>
        </is>
      </c>
      <c r="F181" s="10" t="inlineStr">
        <is>
          <t>TanAnh Pham</t>
        </is>
      </c>
      <c r="G181" s="19" t="inlineStr"/>
      <c r="H181" s="19" t="inlineStr"/>
      <c r="I181" s="19" t="inlineStr"/>
      <c r="J181" s="19" t="inlineStr"/>
      <c r="K181" s="19" t="inlineStr"/>
      <c r="L181" s="19" t="inlineStr"/>
      <c r="M181" s="19" t="inlineStr"/>
      <c r="N181" s="19" t="inlineStr"/>
      <c r="O181" s="11">
        <f>IF(OR(G181&lt;&gt;"",H181&lt;&gt;""),1,0) + IF(OR(I181&lt;&gt;"",J181&lt;&gt;""),1,0) + IF(OR(K181&lt;&gt;"",L181&lt;&gt;""),1,0) + IF(OR(M181&lt;&gt;"",N181&lt;&gt;""),1,0)</f>
        <v/>
      </c>
      <c r="P181" s="9">
        <f>IF(O181=4,"✅ Đủ 4 nhiệm vụ",IF(O181&gt;0,"⏳ Đạt "&amp;O181&amp;"/4","❌ Chưa nộp"))</f>
        <v/>
      </c>
    </row>
    <row r="182">
      <c r="A182" s="9" t="n">
        <v>178</v>
      </c>
      <c r="B182" s="9" t="inlineStr">
        <is>
          <t>Tuần 3</t>
        </is>
      </c>
      <c r="C182" s="9" t="inlineStr">
        <is>
          <t>Chủ Nhật</t>
        </is>
      </c>
      <c r="D182" s="9" t="inlineStr">
        <is>
          <t>27/09/2026</t>
        </is>
      </c>
      <c r="E182" s="9" t="inlineStr">
        <is>
          <t>Ngày 20</t>
        </is>
      </c>
      <c r="F182" s="10" t="inlineStr">
        <is>
          <t>Thảo Collins Edu</t>
        </is>
      </c>
      <c r="G182" s="19" t="inlineStr"/>
      <c r="H182" s="19" t="inlineStr"/>
      <c r="I182" s="19" t="inlineStr"/>
      <c r="J182" s="19" t="inlineStr"/>
      <c r="K182" s="19" t="inlineStr"/>
      <c r="L182" s="19" t="inlineStr"/>
      <c r="M182" s="19" t="inlineStr"/>
      <c r="N182" s="19" t="inlineStr"/>
      <c r="O182" s="11">
        <f>IF(OR(G182&lt;&gt;"",H182&lt;&gt;""),1,0) + IF(OR(I182&lt;&gt;"",J182&lt;&gt;""),1,0) + IF(OR(K182&lt;&gt;"",L182&lt;&gt;""),1,0) + IF(OR(M182&lt;&gt;"",N182&lt;&gt;""),1,0)</f>
        <v/>
      </c>
      <c r="P182" s="9">
        <f>IF(O182=4,"✅ Đủ 4 nhiệm vụ",IF(O182&gt;0,"⏳ Đạt "&amp;O182&amp;"/4","❌ Chưa nộp"))</f>
        <v/>
      </c>
    </row>
    <row r="183">
      <c r="A183" s="9" t="n">
        <v>179</v>
      </c>
      <c r="B183" s="9" t="inlineStr">
        <is>
          <t>Tuần 3</t>
        </is>
      </c>
      <c r="C183" s="9" t="inlineStr">
        <is>
          <t>Chủ Nhật</t>
        </is>
      </c>
      <c r="D183" s="9" t="inlineStr">
        <is>
          <t>27/09/2026</t>
        </is>
      </c>
      <c r="E183" s="9" t="inlineStr">
        <is>
          <t>Ngày 20</t>
        </is>
      </c>
      <c r="F183" s="10" t="inlineStr">
        <is>
          <t>Trần Quế Lam</t>
        </is>
      </c>
      <c r="G183" s="19" t="inlineStr"/>
      <c r="H183" s="19" t="inlineStr"/>
      <c r="I183" s="19" t="inlineStr"/>
      <c r="J183" s="19" t="inlineStr"/>
      <c r="K183" s="19" t="inlineStr"/>
      <c r="L183" s="19" t="inlineStr"/>
      <c r="M183" s="19" t="inlineStr"/>
      <c r="N183" s="19" t="inlineStr"/>
      <c r="O183" s="11">
        <f>IF(OR(G183&lt;&gt;"",H183&lt;&gt;""),1,0) + IF(OR(I183&lt;&gt;"",J183&lt;&gt;""),1,0) + IF(OR(K183&lt;&gt;"",L183&lt;&gt;""),1,0) + IF(OR(M183&lt;&gt;"",N183&lt;&gt;""),1,0)</f>
        <v/>
      </c>
      <c r="P183" s="9">
        <f>IF(O183=4,"✅ Đủ 4 nhiệm vụ",IF(O183&gt;0,"⏳ Đạt "&amp;O183&amp;"/4","❌ Chưa nộp"))</f>
        <v/>
      </c>
    </row>
    <row r="184">
      <c r="A184" s="9" t="n">
        <v>180</v>
      </c>
      <c r="B184" s="9" t="inlineStr">
        <is>
          <t>Tuần 3</t>
        </is>
      </c>
      <c r="C184" s="9" t="inlineStr">
        <is>
          <t>Chủ Nhật</t>
        </is>
      </c>
      <c r="D184" s="9" t="inlineStr">
        <is>
          <t>27/09/2026</t>
        </is>
      </c>
      <c r="E184" s="9" t="inlineStr">
        <is>
          <t>Ngày 20</t>
        </is>
      </c>
      <c r="F184" s="10" t="inlineStr">
        <is>
          <t>Phạm Huyền</t>
        </is>
      </c>
      <c r="G184" s="19" t="inlineStr"/>
      <c r="H184" s="19" t="inlineStr"/>
      <c r="I184" s="19" t="inlineStr"/>
      <c r="J184" s="19" t="inlineStr"/>
      <c r="K184" s="19" t="inlineStr"/>
      <c r="L184" s="19" t="inlineStr"/>
      <c r="M184" s="19" t="inlineStr"/>
      <c r="N184" s="19" t="inlineStr"/>
      <c r="O184" s="11">
        <f>IF(OR(G184&lt;&gt;"",H184&lt;&gt;""),1,0) + IF(OR(I184&lt;&gt;"",J184&lt;&gt;""),1,0) + IF(OR(K184&lt;&gt;"",L184&lt;&gt;""),1,0) + IF(OR(M184&lt;&gt;"",N184&lt;&gt;""),1,0)</f>
        <v/>
      </c>
      <c r="P184" s="9">
        <f>IF(O184=4,"✅ Đủ 4 nhiệm vụ",IF(O184&gt;0,"⏳ Đạt "&amp;O184&amp;"/4","❌ Chưa nộp"))</f>
        <v/>
      </c>
    </row>
    <row r="185">
      <c r="A185" s="5" t="n">
        <v>181</v>
      </c>
      <c r="B185" s="5" t="inlineStr">
        <is>
          <t>Tuần 3</t>
        </is>
      </c>
      <c r="C185" s="5" t="inlineStr">
        <is>
          <t>Thứ 2</t>
        </is>
      </c>
      <c r="D185" s="5" t="inlineStr">
        <is>
          <t>28/09/2026</t>
        </is>
      </c>
      <c r="E185" s="5" t="inlineStr">
        <is>
          <t>Ngày 21</t>
        </is>
      </c>
      <c r="F185" s="6" t="inlineStr">
        <is>
          <t>Nancy</t>
        </is>
      </c>
      <c r="G185" s="18" t="inlineStr"/>
      <c r="H185" s="18" t="inlineStr"/>
      <c r="I185" s="18" t="inlineStr"/>
      <c r="J185" s="18" t="inlineStr"/>
      <c r="K185" s="18" t="inlineStr"/>
      <c r="L185" s="18" t="inlineStr"/>
      <c r="M185" s="18" t="inlineStr"/>
      <c r="N185" s="18" t="inlineStr"/>
      <c r="O185" s="7">
        <f>IF(OR(G185&lt;&gt;"",H185&lt;&gt;""),1,0) + IF(OR(I185&lt;&gt;"",J185&lt;&gt;""),1,0) + IF(OR(K185&lt;&gt;"",L185&lt;&gt;""),1,0) + IF(OR(M185&lt;&gt;"",N185&lt;&gt;""),1,0)</f>
        <v/>
      </c>
      <c r="P185" s="5">
        <f>IF(O185=4,"✅ Đủ 4 nhiệm vụ",IF(O185&gt;0,"⏳ Đạt "&amp;O185&amp;"/4","❌ Chưa nộp"))</f>
        <v/>
      </c>
    </row>
    <row r="186">
      <c r="A186" s="5" t="n">
        <v>182</v>
      </c>
      <c r="B186" s="5" t="inlineStr">
        <is>
          <t>Tuần 3</t>
        </is>
      </c>
      <c r="C186" s="5" t="inlineStr">
        <is>
          <t>Thứ 2</t>
        </is>
      </c>
      <c r="D186" s="5" t="inlineStr">
        <is>
          <t>28/09/2026</t>
        </is>
      </c>
      <c r="E186" s="5" t="inlineStr">
        <is>
          <t>Ngày 21</t>
        </is>
      </c>
      <c r="F186" s="6" t="inlineStr">
        <is>
          <t>Hoài Học Mãi</t>
        </is>
      </c>
      <c r="G186" s="18" t="inlineStr"/>
      <c r="H186" s="18" t="inlineStr"/>
      <c r="I186" s="18" t="inlineStr"/>
      <c r="J186" s="18" t="inlineStr"/>
      <c r="K186" s="18" t="inlineStr"/>
      <c r="L186" s="18" t="inlineStr"/>
      <c r="M186" s="18" t="inlineStr"/>
      <c r="N186" s="18" t="inlineStr"/>
      <c r="O186" s="7">
        <f>IF(OR(G186&lt;&gt;"",H186&lt;&gt;""),1,0) + IF(OR(I186&lt;&gt;"",J186&lt;&gt;""),1,0) + IF(OR(K186&lt;&gt;"",L186&lt;&gt;""),1,0) + IF(OR(M186&lt;&gt;"",N186&lt;&gt;""),1,0)</f>
        <v/>
      </c>
      <c r="P186" s="5">
        <f>IF(O186=4,"✅ Đủ 4 nhiệm vụ",IF(O186&gt;0,"⏳ Đạt "&amp;O186&amp;"/4","❌ Chưa nộp"))</f>
        <v/>
      </c>
    </row>
    <row r="187">
      <c r="A187" s="5" t="n">
        <v>183</v>
      </c>
      <c r="B187" s="5" t="inlineStr">
        <is>
          <t>Tuần 3</t>
        </is>
      </c>
      <c r="C187" s="5" t="inlineStr">
        <is>
          <t>Thứ 2</t>
        </is>
      </c>
      <c r="D187" s="5" t="inlineStr">
        <is>
          <t>28/09/2026</t>
        </is>
      </c>
      <c r="E187" s="5" t="inlineStr">
        <is>
          <t>Ngày 21</t>
        </is>
      </c>
      <c r="F187" s="6" t="inlineStr">
        <is>
          <t>Lambee</t>
        </is>
      </c>
      <c r="G187" s="18" t="inlineStr"/>
      <c r="H187" s="18" t="inlineStr"/>
      <c r="I187" s="18" t="inlineStr"/>
      <c r="J187" s="18" t="inlineStr"/>
      <c r="K187" s="18" t="inlineStr"/>
      <c r="L187" s="18" t="inlineStr"/>
      <c r="M187" s="18" t="inlineStr"/>
      <c r="N187" s="18" t="inlineStr"/>
      <c r="O187" s="7">
        <f>IF(OR(G187&lt;&gt;"",H187&lt;&gt;""),1,0) + IF(OR(I187&lt;&gt;"",J187&lt;&gt;""),1,0) + IF(OR(K187&lt;&gt;"",L187&lt;&gt;""),1,0) + IF(OR(M187&lt;&gt;"",N187&lt;&gt;""),1,0)</f>
        <v/>
      </c>
      <c r="P187" s="5">
        <f>IF(O187=4,"✅ Đủ 4 nhiệm vụ",IF(O187&gt;0,"⏳ Đạt "&amp;O187&amp;"/4","❌ Chưa nộp"))</f>
        <v/>
      </c>
    </row>
    <row r="188">
      <c r="A188" s="5" t="n">
        <v>184</v>
      </c>
      <c r="B188" s="5" t="inlineStr">
        <is>
          <t>Tuần 3</t>
        </is>
      </c>
      <c r="C188" s="5" t="inlineStr">
        <is>
          <t>Thứ 2</t>
        </is>
      </c>
      <c r="D188" s="5" t="inlineStr">
        <is>
          <t>28/09/2026</t>
        </is>
      </c>
      <c r="E188" s="5" t="inlineStr">
        <is>
          <t>Ngày 21</t>
        </is>
      </c>
      <c r="F188" s="6" t="inlineStr">
        <is>
          <t>Nhung Hoàng</t>
        </is>
      </c>
      <c r="G188" s="18" t="inlineStr"/>
      <c r="H188" s="18" t="inlineStr"/>
      <c r="I188" s="18" t="inlineStr"/>
      <c r="J188" s="18" t="inlineStr"/>
      <c r="K188" s="18" t="inlineStr"/>
      <c r="L188" s="18" t="inlineStr"/>
      <c r="M188" s="18" t="inlineStr"/>
      <c r="N188" s="18" t="inlineStr"/>
      <c r="O188" s="7">
        <f>IF(OR(G188&lt;&gt;"",H188&lt;&gt;""),1,0) + IF(OR(I188&lt;&gt;"",J188&lt;&gt;""),1,0) + IF(OR(K188&lt;&gt;"",L188&lt;&gt;""),1,0) + IF(OR(M188&lt;&gt;"",N188&lt;&gt;""),1,0)</f>
        <v/>
      </c>
      <c r="P188" s="5">
        <f>IF(O188=4,"✅ Đủ 4 nhiệm vụ",IF(O188&gt;0,"⏳ Đạt "&amp;O188&amp;"/4","❌ Chưa nộp"))</f>
        <v/>
      </c>
    </row>
    <row r="189">
      <c r="A189" s="5" t="n">
        <v>185</v>
      </c>
      <c r="B189" s="5" t="inlineStr">
        <is>
          <t>Tuần 3</t>
        </is>
      </c>
      <c r="C189" s="5" t="inlineStr">
        <is>
          <t>Thứ 2</t>
        </is>
      </c>
      <c r="D189" s="5" t="inlineStr">
        <is>
          <t>28/09/2026</t>
        </is>
      </c>
      <c r="E189" s="5" t="inlineStr">
        <is>
          <t>Ngày 21</t>
        </is>
      </c>
      <c r="F189" s="6" t="inlineStr">
        <is>
          <t>Quỳnh Thu</t>
        </is>
      </c>
      <c r="G189" s="18" t="inlineStr"/>
      <c r="H189" s="18" t="inlineStr"/>
      <c r="I189" s="18" t="inlineStr"/>
      <c r="J189" s="18" t="inlineStr"/>
      <c r="K189" s="18" t="inlineStr"/>
      <c r="L189" s="18" t="inlineStr"/>
      <c r="M189" s="18" t="inlineStr"/>
      <c r="N189" s="18" t="inlineStr"/>
      <c r="O189" s="7">
        <f>IF(OR(G189&lt;&gt;"",H189&lt;&gt;""),1,0) + IF(OR(I189&lt;&gt;"",J189&lt;&gt;""),1,0) + IF(OR(K189&lt;&gt;"",L189&lt;&gt;""),1,0) + IF(OR(M189&lt;&gt;"",N189&lt;&gt;""),1,0)</f>
        <v/>
      </c>
      <c r="P189" s="5">
        <f>IF(O189=4,"✅ Đủ 4 nhiệm vụ",IF(O189&gt;0,"⏳ Đạt "&amp;O189&amp;"/4","❌ Chưa nộp"))</f>
        <v/>
      </c>
    </row>
    <row r="190">
      <c r="A190" s="5" t="n">
        <v>186</v>
      </c>
      <c r="B190" s="5" t="inlineStr">
        <is>
          <t>Tuần 3</t>
        </is>
      </c>
      <c r="C190" s="5" t="inlineStr">
        <is>
          <t>Thứ 2</t>
        </is>
      </c>
      <c r="D190" s="5" t="inlineStr">
        <is>
          <t>28/09/2026</t>
        </is>
      </c>
      <c r="E190" s="5" t="inlineStr">
        <is>
          <t>Ngày 21</t>
        </is>
      </c>
      <c r="F190" s="6" t="inlineStr">
        <is>
          <t>TanAnh Pham</t>
        </is>
      </c>
      <c r="G190" s="18" t="inlineStr"/>
      <c r="H190" s="18" t="inlineStr"/>
      <c r="I190" s="18" t="inlineStr"/>
      <c r="J190" s="18" t="inlineStr"/>
      <c r="K190" s="18" t="inlineStr"/>
      <c r="L190" s="18" t="inlineStr"/>
      <c r="M190" s="18" t="inlineStr"/>
      <c r="N190" s="18" t="inlineStr"/>
      <c r="O190" s="7">
        <f>IF(OR(G190&lt;&gt;"",H190&lt;&gt;""),1,0) + IF(OR(I190&lt;&gt;"",J190&lt;&gt;""),1,0) + IF(OR(K190&lt;&gt;"",L190&lt;&gt;""),1,0) + IF(OR(M190&lt;&gt;"",N190&lt;&gt;""),1,0)</f>
        <v/>
      </c>
      <c r="P190" s="5">
        <f>IF(O190=4,"✅ Đủ 4 nhiệm vụ",IF(O190&gt;0,"⏳ Đạt "&amp;O190&amp;"/4","❌ Chưa nộp"))</f>
        <v/>
      </c>
    </row>
    <row r="191">
      <c r="A191" s="5" t="n">
        <v>187</v>
      </c>
      <c r="B191" s="5" t="inlineStr">
        <is>
          <t>Tuần 3</t>
        </is>
      </c>
      <c r="C191" s="5" t="inlineStr">
        <is>
          <t>Thứ 2</t>
        </is>
      </c>
      <c r="D191" s="5" t="inlineStr">
        <is>
          <t>28/09/2026</t>
        </is>
      </c>
      <c r="E191" s="5" t="inlineStr">
        <is>
          <t>Ngày 21</t>
        </is>
      </c>
      <c r="F191" s="6" t="inlineStr">
        <is>
          <t>Thảo Collins Edu</t>
        </is>
      </c>
      <c r="G191" s="18" t="inlineStr"/>
      <c r="H191" s="18" t="inlineStr"/>
      <c r="I191" s="18" t="inlineStr"/>
      <c r="J191" s="18" t="inlineStr"/>
      <c r="K191" s="18" t="inlineStr"/>
      <c r="L191" s="18" t="inlineStr"/>
      <c r="M191" s="18" t="inlineStr"/>
      <c r="N191" s="18" t="inlineStr"/>
      <c r="O191" s="7">
        <f>IF(OR(G191&lt;&gt;"",H191&lt;&gt;""),1,0) + IF(OR(I191&lt;&gt;"",J191&lt;&gt;""),1,0) + IF(OR(K191&lt;&gt;"",L191&lt;&gt;""),1,0) + IF(OR(M191&lt;&gt;"",N191&lt;&gt;""),1,0)</f>
        <v/>
      </c>
      <c r="P191" s="5">
        <f>IF(O191=4,"✅ Đủ 4 nhiệm vụ",IF(O191&gt;0,"⏳ Đạt "&amp;O191&amp;"/4","❌ Chưa nộp"))</f>
        <v/>
      </c>
    </row>
    <row r="192">
      <c r="A192" s="5" t="n">
        <v>188</v>
      </c>
      <c r="B192" s="5" t="inlineStr">
        <is>
          <t>Tuần 3</t>
        </is>
      </c>
      <c r="C192" s="5" t="inlineStr">
        <is>
          <t>Thứ 2</t>
        </is>
      </c>
      <c r="D192" s="5" t="inlineStr">
        <is>
          <t>28/09/2026</t>
        </is>
      </c>
      <c r="E192" s="5" t="inlineStr">
        <is>
          <t>Ngày 21</t>
        </is>
      </c>
      <c r="F192" s="6" t="inlineStr">
        <is>
          <t>Trần Quế Lam</t>
        </is>
      </c>
      <c r="G192" s="18" t="inlineStr"/>
      <c r="H192" s="18" t="inlineStr"/>
      <c r="I192" s="18" t="inlineStr"/>
      <c r="J192" s="18" t="inlineStr"/>
      <c r="K192" s="18" t="inlineStr"/>
      <c r="L192" s="18" t="inlineStr"/>
      <c r="M192" s="18" t="inlineStr"/>
      <c r="N192" s="18" t="inlineStr"/>
      <c r="O192" s="7">
        <f>IF(OR(G192&lt;&gt;"",H192&lt;&gt;""),1,0) + IF(OR(I192&lt;&gt;"",J192&lt;&gt;""),1,0) + IF(OR(K192&lt;&gt;"",L192&lt;&gt;""),1,0) + IF(OR(M192&lt;&gt;"",N192&lt;&gt;""),1,0)</f>
        <v/>
      </c>
      <c r="P192" s="5">
        <f>IF(O192=4,"✅ Đủ 4 nhiệm vụ",IF(O192&gt;0,"⏳ Đạt "&amp;O192&amp;"/4","❌ Chưa nộp"))</f>
        <v/>
      </c>
    </row>
    <row r="193">
      <c r="A193" s="5" t="n">
        <v>189</v>
      </c>
      <c r="B193" s="5" t="inlineStr">
        <is>
          <t>Tuần 3</t>
        </is>
      </c>
      <c r="C193" s="5" t="inlineStr">
        <is>
          <t>Thứ 2</t>
        </is>
      </c>
      <c r="D193" s="5" t="inlineStr">
        <is>
          <t>28/09/2026</t>
        </is>
      </c>
      <c r="E193" s="5" t="inlineStr">
        <is>
          <t>Ngày 21</t>
        </is>
      </c>
      <c r="F193" s="6" t="inlineStr">
        <is>
          <t>Phạm Huyền</t>
        </is>
      </c>
      <c r="G193" s="18" t="inlineStr"/>
      <c r="H193" s="18" t="inlineStr"/>
      <c r="I193" s="18" t="inlineStr"/>
      <c r="J193" s="18" t="inlineStr"/>
      <c r="K193" s="18" t="inlineStr"/>
      <c r="L193" s="18" t="inlineStr"/>
      <c r="M193" s="18" t="inlineStr"/>
      <c r="N193" s="18" t="inlineStr"/>
      <c r="O193" s="7">
        <f>IF(OR(G193&lt;&gt;"",H193&lt;&gt;""),1,0) + IF(OR(I193&lt;&gt;"",J193&lt;&gt;""),1,0) + IF(OR(K193&lt;&gt;"",L193&lt;&gt;""),1,0) + IF(OR(M193&lt;&gt;"",N193&lt;&gt;""),1,0)</f>
        <v/>
      </c>
      <c r="P193" s="5">
        <f>IF(O193=4,"✅ Đủ 4 nhiệm vụ",IF(O193&gt;0,"⏳ Đạt "&amp;O193&amp;"/4","❌ Chưa nộp"))</f>
        <v/>
      </c>
    </row>
    <row r="194">
      <c r="A194" s="9" t="n">
        <v>190</v>
      </c>
      <c r="B194" s="9" t="inlineStr">
        <is>
          <t>Tuần 4</t>
        </is>
      </c>
      <c r="C194" s="9" t="inlineStr">
        <is>
          <t>Thứ 3</t>
        </is>
      </c>
      <c r="D194" s="9" t="inlineStr">
        <is>
          <t>29/09/2026</t>
        </is>
      </c>
      <c r="E194" s="9" t="inlineStr">
        <is>
          <t>Ngày 22</t>
        </is>
      </c>
      <c r="F194" s="10" t="inlineStr">
        <is>
          <t>Nancy</t>
        </is>
      </c>
      <c r="G194" s="19" t="inlineStr"/>
      <c r="H194" s="19" t="inlineStr"/>
      <c r="I194" s="19" t="inlineStr"/>
      <c r="J194" s="19" t="inlineStr"/>
      <c r="K194" s="19" t="inlineStr"/>
      <c r="L194" s="19" t="inlineStr"/>
      <c r="M194" s="19" t="inlineStr"/>
      <c r="N194" s="19" t="inlineStr"/>
      <c r="O194" s="11">
        <f>IF(OR(G194&lt;&gt;"",H194&lt;&gt;""),1,0) + IF(OR(I194&lt;&gt;"",J194&lt;&gt;""),1,0) + IF(OR(K194&lt;&gt;"",L194&lt;&gt;""),1,0) + IF(OR(M194&lt;&gt;"",N194&lt;&gt;""),1,0)</f>
        <v/>
      </c>
      <c r="P194" s="9">
        <f>IF(O194=4,"✅ Đủ 4 nhiệm vụ",IF(O194&gt;0,"⏳ Đạt "&amp;O194&amp;"/4","❌ Chưa nộp"))</f>
        <v/>
      </c>
    </row>
    <row r="195">
      <c r="A195" s="9" t="n">
        <v>191</v>
      </c>
      <c r="B195" s="9" t="inlineStr">
        <is>
          <t>Tuần 4</t>
        </is>
      </c>
      <c r="C195" s="9" t="inlineStr">
        <is>
          <t>Thứ 3</t>
        </is>
      </c>
      <c r="D195" s="9" t="inlineStr">
        <is>
          <t>29/09/2026</t>
        </is>
      </c>
      <c r="E195" s="9" t="inlineStr">
        <is>
          <t>Ngày 22</t>
        </is>
      </c>
      <c r="F195" s="10" t="inlineStr">
        <is>
          <t>Hoài Học Mãi</t>
        </is>
      </c>
      <c r="G195" s="19" t="inlineStr"/>
      <c r="H195" s="19" t="inlineStr"/>
      <c r="I195" s="19" t="inlineStr"/>
      <c r="J195" s="19" t="inlineStr"/>
      <c r="K195" s="19" t="inlineStr"/>
      <c r="L195" s="19" t="inlineStr"/>
      <c r="M195" s="19" t="inlineStr"/>
      <c r="N195" s="19" t="inlineStr"/>
      <c r="O195" s="11">
        <f>IF(OR(G195&lt;&gt;"",H195&lt;&gt;""),1,0) + IF(OR(I195&lt;&gt;"",J195&lt;&gt;""),1,0) + IF(OR(K195&lt;&gt;"",L195&lt;&gt;""),1,0) + IF(OR(M195&lt;&gt;"",N195&lt;&gt;""),1,0)</f>
        <v/>
      </c>
      <c r="P195" s="9">
        <f>IF(O195=4,"✅ Đủ 4 nhiệm vụ",IF(O195&gt;0,"⏳ Đạt "&amp;O195&amp;"/4","❌ Chưa nộp"))</f>
        <v/>
      </c>
    </row>
    <row r="196">
      <c r="A196" s="9" t="n">
        <v>192</v>
      </c>
      <c r="B196" s="9" t="inlineStr">
        <is>
          <t>Tuần 4</t>
        </is>
      </c>
      <c r="C196" s="9" t="inlineStr">
        <is>
          <t>Thứ 3</t>
        </is>
      </c>
      <c r="D196" s="9" t="inlineStr">
        <is>
          <t>29/09/2026</t>
        </is>
      </c>
      <c r="E196" s="9" t="inlineStr">
        <is>
          <t>Ngày 22</t>
        </is>
      </c>
      <c r="F196" s="10" t="inlineStr">
        <is>
          <t>Lambee</t>
        </is>
      </c>
      <c r="G196" s="19" t="inlineStr"/>
      <c r="H196" s="19" t="inlineStr"/>
      <c r="I196" s="19" t="inlineStr"/>
      <c r="J196" s="19" t="inlineStr"/>
      <c r="K196" s="19" t="inlineStr"/>
      <c r="L196" s="19" t="inlineStr"/>
      <c r="M196" s="19" t="inlineStr"/>
      <c r="N196" s="19" t="inlineStr"/>
      <c r="O196" s="11">
        <f>IF(OR(G196&lt;&gt;"",H196&lt;&gt;""),1,0) + IF(OR(I196&lt;&gt;"",J196&lt;&gt;""),1,0) + IF(OR(K196&lt;&gt;"",L196&lt;&gt;""),1,0) + IF(OR(M196&lt;&gt;"",N196&lt;&gt;""),1,0)</f>
        <v/>
      </c>
      <c r="P196" s="9">
        <f>IF(O196=4,"✅ Đủ 4 nhiệm vụ",IF(O196&gt;0,"⏳ Đạt "&amp;O196&amp;"/4","❌ Chưa nộp"))</f>
        <v/>
      </c>
    </row>
    <row r="197">
      <c r="A197" s="9" t="n">
        <v>193</v>
      </c>
      <c r="B197" s="9" t="inlineStr">
        <is>
          <t>Tuần 4</t>
        </is>
      </c>
      <c r="C197" s="9" t="inlineStr">
        <is>
          <t>Thứ 3</t>
        </is>
      </c>
      <c r="D197" s="9" t="inlineStr">
        <is>
          <t>29/09/2026</t>
        </is>
      </c>
      <c r="E197" s="9" t="inlineStr">
        <is>
          <t>Ngày 22</t>
        </is>
      </c>
      <c r="F197" s="10" t="inlineStr">
        <is>
          <t>Nhung Hoàng</t>
        </is>
      </c>
      <c r="G197" s="19" t="inlineStr"/>
      <c r="H197" s="19" t="inlineStr"/>
      <c r="I197" s="19" t="inlineStr"/>
      <c r="J197" s="19" t="inlineStr"/>
      <c r="K197" s="19" t="inlineStr"/>
      <c r="L197" s="19" t="inlineStr"/>
      <c r="M197" s="19" t="inlineStr"/>
      <c r="N197" s="19" t="inlineStr"/>
      <c r="O197" s="11">
        <f>IF(OR(G197&lt;&gt;"",H197&lt;&gt;""),1,0) + IF(OR(I197&lt;&gt;"",J197&lt;&gt;""),1,0) + IF(OR(K197&lt;&gt;"",L197&lt;&gt;""),1,0) + IF(OR(M197&lt;&gt;"",N197&lt;&gt;""),1,0)</f>
        <v/>
      </c>
      <c r="P197" s="9">
        <f>IF(O197=4,"✅ Đủ 4 nhiệm vụ",IF(O197&gt;0,"⏳ Đạt "&amp;O197&amp;"/4","❌ Chưa nộp"))</f>
        <v/>
      </c>
    </row>
    <row r="198">
      <c r="A198" s="9" t="n">
        <v>194</v>
      </c>
      <c r="B198" s="9" t="inlineStr">
        <is>
          <t>Tuần 4</t>
        </is>
      </c>
      <c r="C198" s="9" t="inlineStr">
        <is>
          <t>Thứ 3</t>
        </is>
      </c>
      <c r="D198" s="9" t="inlineStr">
        <is>
          <t>29/09/2026</t>
        </is>
      </c>
      <c r="E198" s="9" t="inlineStr">
        <is>
          <t>Ngày 22</t>
        </is>
      </c>
      <c r="F198" s="10" t="inlineStr">
        <is>
          <t>Quỳnh Thu</t>
        </is>
      </c>
      <c r="G198" s="19" t="inlineStr"/>
      <c r="H198" s="19" t="inlineStr"/>
      <c r="I198" s="19" t="inlineStr"/>
      <c r="J198" s="19" t="inlineStr"/>
      <c r="K198" s="19" t="inlineStr"/>
      <c r="L198" s="19" t="inlineStr"/>
      <c r="M198" s="19" t="inlineStr"/>
      <c r="N198" s="19" t="inlineStr"/>
      <c r="O198" s="11">
        <f>IF(OR(G198&lt;&gt;"",H198&lt;&gt;""),1,0) + IF(OR(I198&lt;&gt;"",J198&lt;&gt;""),1,0) + IF(OR(K198&lt;&gt;"",L198&lt;&gt;""),1,0) + IF(OR(M198&lt;&gt;"",N198&lt;&gt;""),1,0)</f>
        <v/>
      </c>
      <c r="P198" s="9">
        <f>IF(O198=4,"✅ Đủ 4 nhiệm vụ",IF(O198&gt;0,"⏳ Đạt "&amp;O198&amp;"/4","❌ Chưa nộp"))</f>
        <v/>
      </c>
    </row>
    <row r="199">
      <c r="A199" s="9" t="n">
        <v>195</v>
      </c>
      <c r="B199" s="9" t="inlineStr">
        <is>
          <t>Tuần 4</t>
        </is>
      </c>
      <c r="C199" s="9" t="inlineStr">
        <is>
          <t>Thứ 3</t>
        </is>
      </c>
      <c r="D199" s="9" t="inlineStr">
        <is>
          <t>29/09/2026</t>
        </is>
      </c>
      <c r="E199" s="9" t="inlineStr">
        <is>
          <t>Ngày 22</t>
        </is>
      </c>
      <c r="F199" s="10" t="inlineStr">
        <is>
          <t>TanAnh Pham</t>
        </is>
      </c>
      <c r="G199" s="19" t="inlineStr"/>
      <c r="H199" s="19" t="inlineStr"/>
      <c r="I199" s="19" t="inlineStr"/>
      <c r="J199" s="19" t="inlineStr"/>
      <c r="K199" s="19" t="inlineStr"/>
      <c r="L199" s="19" t="inlineStr"/>
      <c r="M199" s="19" t="inlineStr"/>
      <c r="N199" s="19" t="inlineStr"/>
      <c r="O199" s="11">
        <f>IF(OR(G199&lt;&gt;"",H199&lt;&gt;""),1,0) + IF(OR(I199&lt;&gt;"",J199&lt;&gt;""),1,0) + IF(OR(K199&lt;&gt;"",L199&lt;&gt;""),1,0) + IF(OR(M199&lt;&gt;"",N199&lt;&gt;""),1,0)</f>
        <v/>
      </c>
      <c r="P199" s="9">
        <f>IF(O199=4,"✅ Đủ 4 nhiệm vụ",IF(O199&gt;0,"⏳ Đạt "&amp;O199&amp;"/4","❌ Chưa nộp"))</f>
        <v/>
      </c>
    </row>
    <row r="200">
      <c r="A200" s="9" t="n">
        <v>196</v>
      </c>
      <c r="B200" s="9" t="inlineStr">
        <is>
          <t>Tuần 4</t>
        </is>
      </c>
      <c r="C200" s="9" t="inlineStr">
        <is>
          <t>Thứ 3</t>
        </is>
      </c>
      <c r="D200" s="9" t="inlineStr">
        <is>
          <t>29/09/2026</t>
        </is>
      </c>
      <c r="E200" s="9" t="inlineStr">
        <is>
          <t>Ngày 22</t>
        </is>
      </c>
      <c r="F200" s="10" t="inlineStr">
        <is>
          <t>Thảo Collins Edu</t>
        </is>
      </c>
      <c r="G200" s="19" t="inlineStr"/>
      <c r="H200" s="19" t="inlineStr"/>
      <c r="I200" s="19" t="inlineStr"/>
      <c r="J200" s="19" t="inlineStr"/>
      <c r="K200" s="19" t="inlineStr"/>
      <c r="L200" s="19" t="inlineStr"/>
      <c r="M200" s="19" t="inlineStr"/>
      <c r="N200" s="19" t="inlineStr"/>
      <c r="O200" s="11">
        <f>IF(OR(G200&lt;&gt;"",H200&lt;&gt;""),1,0) + IF(OR(I200&lt;&gt;"",J200&lt;&gt;""),1,0) + IF(OR(K200&lt;&gt;"",L200&lt;&gt;""),1,0) + IF(OR(M200&lt;&gt;"",N200&lt;&gt;""),1,0)</f>
        <v/>
      </c>
      <c r="P200" s="9">
        <f>IF(O200=4,"✅ Đủ 4 nhiệm vụ",IF(O200&gt;0,"⏳ Đạt "&amp;O200&amp;"/4","❌ Chưa nộp"))</f>
        <v/>
      </c>
    </row>
    <row r="201">
      <c r="A201" s="9" t="n">
        <v>197</v>
      </c>
      <c r="B201" s="9" t="inlineStr">
        <is>
          <t>Tuần 4</t>
        </is>
      </c>
      <c r="C201" s="9" t="inlineStr">
        <is>
          <t>Thứ 3</t>
        </is>
      </c>
      <c r="D201" s="9" t="inlineStr">
        <is>
          <t>29/09/2026</t>
        </is>
      </c>
      <c r="E201" s="9" t="inlineStr">
        <is>
          <t>Ngày 22</t>
        </is>
      </c>
      <c r="F201" s="10" t="inlineStr">
        <is>
          <t>Trần Quế Lam</t>
        </is>
      </c>
      <c r="G201" s="19" t="inlineStr"/>
      <c r="H201" s="19" t="inlineStr"/>
      <c r="I201" s="19" t="inlineStr"/>
      <c r="J201" s="19" t="inlineStr"/>
      <c r="K201" s="19" t="inlineStr"/>
      <c r="L201" s="19" t="inlineStr"/>
      <c r="M201" s="19" t="inlineStr"/>
      <c r="N201" s="19" t="inlineStr"/>
      <c r="O201" s="11">
        <f>IF(OR(G201&lt;&gt;"",H201&lt;&gt;""),1,0) + IF(OR(I201&lt;&gt;"",J201&lt;&gt;""),1,0) + IF(OR(K201&lt;&gt;"",L201&lt;&gt;""),1,0) + IF(OR(M201&lt;&gt;"",N201&lt;&gt;""),1,0)</f>
        <v/>
      </c>
      <c r="P201" s="9">
        <f>IF(O201=4,"✅ Đủ 4 nhiệm vụ",IF(O201&gt;0,"⏳ Đạt "&amp;O201&amp;"/4","❌ Chưa nộp"))</f>
        <v/>
      </c>
    </row>
    <row r="202">
      <c r="A202" s="9" t="n">
        <v>198</v>
      </c>
      <c r="B202" s="9" t="inlineStr">
        <is>
          <t>Tuần 4</t>
        </is>
      </c>
      <c r="C202" s="9" t="inlineStr">
        <is>
          <t>Thứ 3</t>
        </is>
      </c>
      <c r="D202" s="9" t="inlineStr">
        <is>
          <t>29/09/2026</t>
        </is>
      </c>
      <c r="E202" s="9" t="inlineStr">
        <is>
          <t>Ngày 22</t>
        </is>
      </c>
      <c r="F202" s="10" t="inlineStr">
        <is>
          <t>Phạm Huyền</t>
        </is>
      </c>
      <c r="G202" s="19" t="inlineStr"/>
      <c r="H202" s="19" t="inlineStr"/>
      <c r="I202" s="19" t="inlineStr"/>
      <c r="J202" s="19" t="inlineStr"/>
      <c r="K202" s="19" t="inlineStr"/>
      <c r="L202" s="19" t="inlineStr"/>
      <c r="M202" s="19" t="inlineStr"/>
      <c r="N202" s="19" t="inlineStr"/>
      <c r="O202" s="11">
        <f>IF(OR(G202&lt;&gt;"",H202&lt;&gt;""),1,0) + IF(OR(I202&lt;&gt;"",J202&lt;&gt;""),1,0) + IF(OR(K202&lt;&gt;"",L202&lt;&gt;""),1,0) + IF(OR(M202&lt;&gt;"",N202&lt;&gt;""),1,0)</f>
        <v/>
      </c>
      <c r="P202" s="9">
        <f>IF(O202=4,"✅ Đủ 4 nhiệm vụ",IF(O202&gt;0,"⏳ Đạt "&amp;O202&amp;"/4","❌ Chưa nộp"))</f>
        <v/>
      </c>
    </row>
    <row r="203">
      <c r="A203" s="5" t="n">
        <v>199</v>
      </c>
      <c r="B203" s="5" t="inlineStr">
        <is>
          <t>Tuần 4</t>
        </is>
      </c>
      <c r="C203" s="5" t="inlineStr">
        <is>
          <t>Thứ 4</t>
        </is>
      </c>
      <c r="D203" s="5" t="inlineStr">
        <is>
          <t>30/09/2026</t>
        </is>
      </c>
      <c r="E203" s="5" t="inlineStr">
        <is>
          <t>Ngày 23</t>
        </is>
      </c>
      <c r="F203" s="6" t="inlineStr">
        <is>
          <t>Nancy</t>
        </is>
      </c>
      <c r="G203" s="18" t="inlineStr"/>
      <c r="H203" s="18" t="inlineStr"/>
      <c r="I203" s="18" t="inlineStr"/>
      <c r="J203" s="18" t="inlineStr"/>
      <c r="K203" s="18" t="inlineStr"/>
      <c r="L203" s="18" t="inlineStr"/>
      <c r="M203" s="18" t="inlineStr"/>
      <c r="N203" s="18" t="inlineStr"/>
      <c r="O203" s="7">
        <f>IF(OR(G203&lt;&gt;"",H203&lt;&gt;""),1,0) + IF(OR(I203&lt;&gt;"",J203&lt;&gt;""),1,0) + IF(OR(K203&lt;&gt;"",L203&lt;&gt;""),1,0) + IF(OR(M203&lt;&gt;"",N203&lt;&gt;""),1,0)</f>
        <v/>
      </c>
      <c r="P203" s="5">
        <f>IF(O203=4,"✅ Đủ 4 nhiệm vụ",IF(O203&gt;0,"⏳ Đạt "&amp;O203&amp;"/4","❌ Chưa nộp"))</f>
        <v/>
      </c>
    </row>
    <row r="204">
      <c r="A204" s="5" t="n">
        <v>200</v>
      </c>
      <c r="B204" s="5" t="inlineStr">
        <is>
          <t>Tuần 4</t>
        </is>
      </c>
      <c r="C204" s="5" t="inlineStr">
        <is>
          <t>Thứ 4</t>
        </is>
      </c>
      <c r="D204" s="5" t="inlineStr">
        <is>
          <t>30/09/2026</t>
        </is>
      </c>
      <c r="E204" s="5" t="inlineStr">
        <is>
          <t>Ngày 23</t>
        </is>
      </c>
      <c r="F204" s="6" t="inlineStr">
        <is>
          <t>Hoài Học Mãi</t>
        </is>
      </c>
      <c r="G204" s="18" t="inlineStr"/>
      <c r="H204" s="18" t="inlineStr"/>
      <c r="I204" s="18" t="inlineStr"/>
      <c r="J204" s="18" t="inlineStr"/>
      <c r="K204" s="18" t="inlineStr"/>
      <c r="L204" s="18" t="inlineStr"/>
      <c r="M204" s="18" t="inlineStr"/>
      <c r="N204" s="18" t="inlineStr"/>
      <c r="O204" s="7">
        <f>IF(OR(G204&lt;&gt;"",H204&lt;&gt;""),1,0) + IF(OR(I204&lt;&gt;"",J204&lt;&gt;""),1,0) + IF(OR(K204&lt;&gt;"",L204&lt;&gt;""),1,0) + IF(OR(M204&lt;&gt;"",N204&lt;&gt;""),1,0)</f>
        <v/>
      </c>
      <c r="P204" s="5">
        <f>IF(O204=4,"✅ Đủ 4 nhiệm vụ",IF(O204&gt;0,"⏳ Đạt "&amp;O204&amp;"/4","❌ Chưa nộp"))</f>
        <v/>
      </c>
    </row>
    <row r="205">
      <c r="A205" s="5" t="n">
        <v>201</v>
      </c>
      <c r="B205" s="5" t="inlineStr">
        <is>
          <t>Tuần 4</t>
        </is>
      </c>
      <c r="C205" s="5" t="inlineStr">
        <is>
          <t>Thứ 4</t>
        </is>
      </c>
      <c r="D205" s="5" t="inlineStr">
        <is>
          <t>30/09/2026</t>
        </is>
      </c>
      <c r="E205" s="5" t="inlineStr">
        <is>
          <t>Ngày 23</t>
        </is>
      </c>
      <c r="F205" s="6" t="inlineStr">
        <is>
          <t>Lambee</t>
        </is>
      </c>
      <c r="G205" s="18" t="inlineStr"/>
      <c r="H205" s="18" t="inlineStr"/>
      <c r="I205" s="18" t="inlineStr"/>
      <c r="J205" s="18" t="inlineStr"/>
      <c r="K205" s="18" t="inlineStr"/>
      <c r="L205" s="18" t="inlineStr"/>
      <c r="M205" s="18" t="inlineStr"/>
      <c r="N205" s="18" t="inlineStr"/>
      <c r="O205" s="7">
        <f>IF(OR(G205&lt;&gt;"",H205&lt;&gt;""),1,0) + IF(OR(I205&lt;&gt;"",J205&lt;&gt;""),1,0) + IF(OR(K205&lt;&gt;"",L205&lt;&gt;""),1,0) + IF(OR(M205&lt;&gt;"",N205&lt;&gt;""),1,0)</f>
        <v/>
      </c>
      <c r="P205" s="5">
        <f>IF(O205=4,"✅ Đủ 4 nhiệm vụ",IF(O205&gt;0,"⏳ Đạt "&amp;O205&amp;"/4","❌ Chưa nộp"))</f>
        <v/>
      </c>
    </row>
    <row r="206">
      <c r="A206" s="5" t="n">
        <v>202</v>
      </c>
      <c r="B206" s="5" t="inlineStr">
        <is>
          <t>Tuần 4</t>
        </is>
      </c>
      <c r="C206" s="5" t="inlineStr">
        <is>
          <t>Thứ 4</t>
        </is>
      </c>
      <c r="D206" s="5" t="inlineStr">
        <is>
          <t>30/09/2026</t>
        </is>
      </c>
      <c r="E206" s="5" t="inlineStr">
        <is>
          <t>Ngày 23</t>
        </is>
      </c>
      <c r="F206" s="6" t="inlineStr">
        <is>
          <t>Nhung Hoàng</t>
        </is>
      </c>
      <c r="G206" s="18" t="inlineStr"/>
      <c r="H206" s="18" t="inlineStr"/>
      <c r="I206" s="18" t="inlineStr"/>
      <c r="J206" s="18" t="inlineStr"/>
      <c r="K206" s="18" t="inlineStr"/>
      <c r="L206" s="18" t="inlineStr"/>
      <c r="M206" s="18" t="inlineStr"/>
      <c r="N206" s="18" t="inlineStr"/>
      <c r="O206" s="7">
        <f>IF(OR(G206&lt;&gt;"",H206&lt;&gt;""),1,0) + IF(OR(I206&lt;&gt;"",J206&lt;&gt;""),1,0) + IF(OR(K206&lt;&gt;"",L206&lt;&gt;""),1,0) + IF(OR(M206&lt;&gt;"",N206&lt;&gt;""),1,0)</f>
        <v/>
      </c>
      <c r="P206" s="5">
        <f>IF(O206=4,"✅ Đủ 4 nhiệm vụ",IF(O206&gt;0,"⏳ Đạt "&amp;O206&amp;"/4","❌ Chưa nộp"))</f>
        <v/>
      </c>
    </row>
    <row r="207">
      <c r="A207" s="5" t="n">
        <v>203</v>
      </c>
      <c r="B207" s="5" t="inlineStr">
        <is>
          <t>Tuần 4</t>
        </is>
      </c>
      <c r="C207" s="5" t="inlineStr">
        <is>
          <t>Thứ 4</t>
        </is>
      </c>
      <c r="D207" s="5" t="inlineStr">
        <is>
          <t>30/09/2026</t>
        </is>
      </c>
      <c r="E207" s="5" t="inlineStr">
        <is>
          <t>Ngày 23</t>
        </is>
      </c>
      <c r="F207" s="6" t="inlineStr">
        <is>
          <t>Quỳnh Thu</t>
        </is>
      </c>
      <c r="G207" s="18" t="inlineStr"/>
      <c r="H207" s="18" t="inlineStr"/>
      <c r="I207" s="18" t="inlineStr"/>
      <c r="J207" s="18" t="inlineStr"/>
      <c r="K207" s="18" t="inlineStr"/>
      <c r="L207" s="18" t="inlineStr"/>
      <c r="M207" s="18" t="inlineStr"/>
      <c r="N207" s="18" t="inlineStr"/>
      <c r="O207" s="7">
        <f>IF(OR(G207&lt;&gt;"",H207&lt;&gt;""),1,0) + IF(OR(I207&lt;&gt;"",J207&lt;&gt;""),1,0) + IF(OR(K207&lt;&gt;"",L207&lt;&gt;""),1,0) + IF(OR(M207&lt;&gt;"",N207&lt;&gt;""),1,0)</f>
        <v/>
      </c>
      <c r="P207" s="5">
        <f>IF(O207=4,"✅ Đủ 4 nhiệm vụ",IF(O207&gt;0,"⏳ Đạt "&amp;O207&amp;"/4","❌ Chưa nộp"))</f>
        <v/>
      </c>
    </row>
    <row r="208">
      <c r="A208" s="5" t="n">
        <v>204</v>
      </c>
      <c r="B208" s="5" t="inlineStr">
        <is>
          <t>Tuần 4</t>
        </is>
      </c>
      <c r="C208" s="5" t="inlineStr">
        <is>
          <t>Thứ 4</t>
        </is>
      </c>
      <c r="D208" s="5" t="inlineStr">
        <is>
          <t>30/09/2026</t>
        </is>
      </c>
      <c r="E208" s="5" t="inlineStr">
        <is>
          <t>Ngày 23</t>
        </is>
      </c>
      <c r="F208" s="6" t="inlineStr">
        <is>
          <t>TanAnh Pham</t>
        </is>
      </c>
      <c r="G208" s="18" t="inlineStr"/>
      <c r="H208" s="18" t="inlineStr"/>
      <c r="I208" s="18" t="inlineStr"/>
      <c r="J208" s="18" t="inlineStr"/>
      <c r="K208" s="18" t="inlineStr"/>
      <c r="L208" s="18" t="inlineStr"/>
      <c r="M208" s="18" t="inlineStr"/>
      <c r="N208" s="18" t="inlineStr"/>
      <c r="O208" s="7">
        <f>IF(OR(G208&lt;&gt;"",H208&lt;&gt;""),1,0) + IF(OR(I208&lt;&gt;"",J208&lt;&gt;""),1,0) + IF(OR(K208&lt;&gt;"",L208&lt;&gt;""),1,0) + IF(OR(M208&lt;&gt;"",N208&lt;&gt;""),1,0)</f>
        <v/>
      </c>
      <c r="P208" s="5">
        <f>IF(O208=4,"✅ Đủ 4 nhiệm vụ",IF(O208&gt;0,"⏳ Đạt "&amp;O208&amp;"/4","❌ Chưa nộp"))</f>
        <v/>
      </c>
    </row>
    <row r="209">
      <c r="A209" s="5" t="n">
        <v>205</v>
      </c>
      <c r="B209" s="5" t="inlineStr">
        <is>
          <t>Tuần 4</t>
        </is>
      </c>
      <c r="C209" s="5" t="inlineStr">
        <is>
          <t>Thứ 4</t>
        </is>
      </c>
      <c r="D209" s="5" t="inlineStr">
        <is>
          <t>30/09/2026</t>
        </is>
      </c>
      <c r="E209" s="5" t="inlineStr">
        <is>
          <t>Ngày 23</t>
        </is>
      </c>
      <c r="F209" s="6" t="inlineStr">
        <is>
          <t>Thảo Collins Edu</t>
        </is>
      </c>
      <c r="G209" s="18" t="inlineStr"/>
      <c r="H209" s="18" t="inlineStr"/>
      <c r="I209" s="18" t="inlineStr"/>
      <c r="J209" s="18" t="inlineStr"/>
      <c r="K209" s="18" t="inlineStr"/>
      <c r="L209" s="18" t="inlineStr"/>
      <c r="M209" s="18" t="inlineStr"/>
      <c r="N209" s="18" t="inlineStr"/>
      <c r="O209" s="7">
        <f>IF(OR(G209&lt;&gt;"",H209&lt;&gt;""),1,0) + IF(OR(I209&lt;&gt;"",J209&lt;&gt;""),1,0) + IF(OR(K209&lt;&gt;"",L209&lt;&gt;""),1,0) + IF(OR(M209&lt;&gt;"",N209&lt;&gt;""),1,0)</f>
        <v/>
      </c>
      <c r="P209" s="5">
        <f>IF(O209=4,"✅ Đủ 4 nhiệm vụ",IF(O209&gt;0,"⏳ Đạt "&amp;O209&amp;"/4","❌ Chưa nộp"))</f>
        <v/>
      </c>
    </row>
    <row r="210">
      <c r="A210" s="5" t="n">
        <v>206</v>
      </c>
      <c r="B210" s="5" t="inlineStr">
        <is>
          <t>Tuần 4</t>
        </is>
      </c>
      <c r="C210" s="5" t="inlineStr">
        <is>
          <t>Thứ 4</t>
        </is>
      </c>
      <c r="D210" s="5" t="inlineStr">
        <is>
          <t>30/09/2026</t>
        </is>
      </c>
      <c r="E210" s="5" t="inlineStr">
        <is>
          <t>Ngày 23</t>
        </is>
      </c>
      <c r="F210" s="6" t="inlineStr">
        <is>
          <t>Trần Quế Lam</t>
        </is>
      </c>
      <c r="G210" s="18" t="inlineStr"/>
      <c r="H210" s="18" t="inlineStr"/>
      <c r="I210" s="18" t="inlineStr"/>
      <c r="J210" s="18" t="inlineStr"/>
      <c r="K210" s="18" t="inlineStr"/>
      <c r="L210" s="18" t="inlineStr"/>
      <c r="M210" s="18" t="inlineStr"/>
      <c r="N210" s="18" t="inlineStr"/>
      <c r="O210" s="7">
        <f>IF(OR(G210&lt;&gt;"",H210&lt;&gt;""),1,0) + IF(OR(I210&lt;&gt;"",J210&lt;&gt;""),1,0) + IF(OR(K210&lt;&gt;"",L210&lt;&gt;""),1,0) + IF(OR(M210&lt;&gt;"",N210&lt;&gt;""),1,0)</f>
        <v/>
      </c>
      <c r="P210" s="5">
        <f>IF(O210=4,"✅ Đủ 4 nhiệm vụ",IF(O210&gt;0,"⏳ Đạt "&amp;O210&amp;"/4","❌ Chưa nộp"))</f>
        <v/>
      </c>
    </row>
    <row r="211">
      <c r="A211" s="5" t="n">
        <v>207</v>
      </c>
      <c r="B211" s="5" t="inlineStr">
        <is>
          <t>Tuần 4</t>
        </is>
      </c>
      <c r="C211" s="5" t="inlineStr">
        <is>
          <t>Thứ 4</t>
        </is>
      </c>
      <c r="D211" s="5" t="inlineStr">
        <is>
          <t>30/09/2026</t>
        </is>
      </c>
      <c r="E211" s="5" t="inlineStr">
        <is>
          <t>Ngày 23</t>
        </is>
      </c>
      <c r="F211" s="6" t="inlineStr">
        <is>
          <t>Phạm Huyền</t>
        </is>
      </c>
      <c r="G211" s="18" t="inlineStr"/>
      <c r="H211" s="18" t="inlineStr"/>
      <c r="I211" s="18" t="inlineStr"/>
      <c r="J211" s="18" t="inlineStr"/>
      <c r="K211" s="18" t="inlineStr"/>
      <c r="L211" s="18" t="inlineStr"/>
      <c r="M211" s="18" t="inlineStr"/>
      <c r="N211" s="18" t="inlineStr"/>
      <c r="O211" s="7">
        <f>IF(OR(G211&lt;&gt;"",H211&lt;&gt;""),1,0) + IF(OR(I211&lt;&gt;"",J211&lt;&gt;""),1,0) + IF(OR(K211&lt;&gt;"",L211&lt;&gt;""),1,0) + IF(OR(M211&lt;&gt;"",N211&lt;&gt;""),1,0)</f>
        <v/>
      </c>
      <c r="P211" s="5">
        <f>IF(O211=4,"✅ Đủ 4 nhiệm vụ",IF(O211&gt;0,"⏳ Đạt "&amp;O211&amp;"/4","❌ Chưa nộp"))</f>
        <v/>
      </c>
    </row>
    <row r="212">
      <c r="A212" s="9" t="n">
        <v>208</v>
      </c>
      <c r="B212" s="9" t="inlineStr">
        <is>
          <t>Tuần 4</t>
        </is>
      </c>
      <c r="C212" s="9" t="inlineStr">
        <is>
          <t>Thứ 5</t>
        </is>
      </c>
      <c r="D212" s="9" t="inlineStr">
        <is>
          <t>01/10/2026</t>
        </is>
      </c>
      <c r="E212" s="9" t="inlineStr">
        <is>
          <t>Ngày 24</t>
        </is>
      </c>
      <c r="F212" s="10" t="inlineStr">
        <is>
          <t>Nancy</t>
        </is>
      </c>
      <c r="G212" s="19" t="inlineStr"/>
      <c r="H212" s="19" t="inlineStr"/>
      <c r="I212" s="19" t="inlineStr"/>
      <c r="J212" s="19" t="inlineStr"/>
      <c r="K212" s="19" t="inlineStr"/>
      <c r="L212" s="19" t="inlineStr"/>
      <c r="M212" s="19" t="inlineStr"/>
      <c r="N212" s="19" t="inlineStr"/>
      <c r="O212" s="11">
        <f>IF(OR(G212&lt;&gt;"",H212&lt;&gt;""),1,0) + IF(OR(I212&lt;&gt;"",J212&lt;&gt;""),1,0) + IF(OR(K212&lt;&gt;"",L212&lt;&gt;""),1,0) + IF(OR(M212&lt;&gt;"",N212&lt;&gt;""),1,0)</f>
        <v/>
      </c>
      <c r="P212" s="9">
        <f>IF(O212=4,"✅ Đủ 4 nhiệm vụ",IF(O212&gt;0,"⏳ Đạt "&amp;O212&amp;"/4","❌ Chưa nộp"))</f>
        <v/>
      </c>
    </row>
    <row r="213">
      <c r="A213" s="9" t="n">
        <v>209</v>
      </c>
      <c r="B213" s="9" t="inlineStr">
        <is>
          <t>Tuần 4</t>
        </is>
      </c>
      <c r="C213" s="9" t="inlineStr">
        <is>
          <t>Thứ 5</t>
        </is>
      </c>
      <c r="D213" s="9" t="inlineStr">
        <is>
          <t>01/10/2026</t>
        </is>
      </c>
      <c r="E213" s="9" t="inlineStr">
        <is>
          <t>Ngày 24</t>
        </is>
      </c>
      <c r="F213" s="10" t="inlineStr">
        <is>
          <t>Hoài Học Mãi</t>
        </is>
      </c>
      <c r="G213" s="19" t="inlineStr"/>
      <c r="H213" s="19" t="inlineStr"/>
      <c r="I213" s="19" t="inlineStr"/>
      <c r="J213" s="19" t="inlineStr"/>
      <c r="K213" s="19" t="inlineStr"/>
      <c r="L213" s="19" t="inlineStr"/>
      <c r="M213" s="19" t="inlineStr"/>
      <c r="N213" s="19" t="inlineStr"/>
      <c r="O213" s="11">
        <f>IF(OR(G213&lt;&gt;"",H213&lt;&gt;""),1,0) + IF(OR(I213&lt;&gt;"",J213&lt;&gt;""),1,0) + IF(OR(K213&lt;&gt;"",L213&lt;&gt;""),1,0) + IF(OR(M213&lt;&gt;"",N213&lt;&gt;""),1,0)</f>
        <v/>
      </c>
      <c r="P213" s="9">
        <f>IF(O213=4,"✅ Đủ 4 nhiệm vụ",IF(O213&gt;0,"⏳ Đạt "&amp;O213&amp;"/4","❌ Chưa nộp"))</f>
        <v/>
      </c>
    </row>
    <row r="214">
      <c r="A214" s="9" t="n">
        <v>210</v>
      </c>
      <c r="B214" s="9" t="inlineStr">
        <is>
          <t>Tuần 4</t>
        </is>
      </c>
      <c r="C214" s="9" t="inlineStr">
        <is>
          <t>Thứ 5</t>
        </is>
      </c>
      <c r="D214" s="9" t="inlineStr">
        <is>
          <t>01/10/2026</t>
        </is>
      </c>
      <c r="E214" s="9" t="inlineStr">
        <is>
          <t>Ngày 24</t>
        </is>
      </c>
      <c r="F214" s="10" t="inlineStr">
        <is>
          <t>Lambee</t>
        </is>
      </c>
      <c r="G214" s="19" t="inlineStr"/>
      <c r="H214" s="19" t="inlineStr"/>
      <c r="I214" s="19" t="inlineStr"/>
      <c r="J214" s="19" t="inlineStr"/>
      <c r="K214" s="19" t="inlineStr"/>
      <c r="L214" s="19" t="inlineStr"/>
      <c r="M214" s="19" t="inlineStr"/>
      <c r="N214" s="19" t="inlineStr"/>
      <c r="O214" s="11">
        <f>IF(OR(G214&lt;&gt;"",H214&lt;&gt;""),1,0) + IF(OR(I214&lt;&gt;"",J214&lt;&gt;""),1,0) + IF(OR(K214&lt;&gt;"",L214&lt;&gt;""),1,0) + IF(OR(M214&lt;&gt;"",N214&lt;&gt;""),1,0)</f>
        <v/>
      </c>
      <c r="P214" s="9">
        <f>IF(O214=4,"✅ Đủ 4 nhiệm vụ",IF(O214&gt;0,"⏳ Đạt "&amp;O214&amp;"/4","❌ Chưa nộp"))</f>
        <v/>
      </c>
    </row>
    <row r="215">
      <c r="A215" s="9" t="n">
        <v>211</v>
      </c>
      <c r="B215" s="9" t="inlineStr">
        <is>
          <t>Tuần 4</t>
        </is>
      </c>
      <c r="C215" s="9" t="inlineStr">
        <is>
          <t>Thứ 5</t>
        </is>
      </c>
      <c r="D215" s="9" t="inlineStr">
        <is>
          <t>01/10/2026</t>
        </is>
      </c>
      <c r="E215" s="9" t="inlineStr">
        <is>
          <t>Ngày 24</t>
        </is>
      </c>
      <c r="F215" s="10" t="inlineStr">
        <is>
          <t>Nhung Hoàng</t>
        </is>
      </c>
      <c r="G215" s="19" t="inlineStr"/>
      <c r="H215" s="19" t="inlineStr"/>
      <c r="I215" s="19" t="inlineStr"/>
      <c r="J215" s="19" t="inlineStr"/>
      <c r="K215" s="19" t="inlineStr"/>
      <c r="L215" s="19" t="inlineStr"/>
      <c r="M215" s="19" t="inlineStr"/>
      <c r="N215" s="19" t="inlineStr"/>
      <c r="O215" s="11">
        <f>IF(OR(G215&lt;&gt;"",H215&lt;&gt;""),1,0) + IF(OR(I215&lt;&gt;"",J215&lt;&gt;""),1,0) + IF(OR(K215&lt;&gt;"",L215&lt;&gt;""),1,0) + IF(OR(M215&lt;&gt;"",N215&lt;&gt;""),1,0)</f>
        <v/>
      </c>
      <c r="P215" s="9">
        <f>IF(O215=4,"✅ Đủ 4 nhiệm vụ",IF(O215&gt;0,"⏳ Đạt "&amp;O215&amp;"/4","❌ Chưa nộp"))</f>
        <v/>
      </c>
    </row>
    <row r="216">
      <c r="A216" s="9" t="n">
        <v>212</v>
      </c>
      <c r="B216" s="9" t="inlineStr">
        <is>
          <t>Tuần 4</t>
        </is>
      </c>
      <c r="C216" s="9" t="inlineStr">
        <is>
          <t>Thứ 5</t>
        </is>
      </c>
      <c r="D216" s="9" t="inlineStr">
        <is>
          <t>01/10/2026</t>
        </is>
      </c>
      <c r="E216" s="9" t="inlineStr">
        <is>
          <t>Ngày 24</t>
        </is>
      </c>
      <c r="F216" s="10" t="inlineStr">
        <is>
          <t>Quỳnh Thu</t>
        </is>
      </c>
      <c r="G216" s="19" t="inlineStr"/>
      <c r="H216" s="19" t="inlineStr"/>
      <c r="I216" s="19" t="inlineStr"/>
      <c r="J216" s="19" t="inlineStr"/>
      <c r="K216" s="19" t="inlineStr"/>
      <c r="L216" s="19" t="inlineStr"/>
      <c r="M216" s="19" t="inlineStr"/>
      <c r="N216" s="19" t="inlineStr"/>
      <c r="O216" s="11">
        <f>IF(OR(G216&lt;&gt;"",H216&lt;&gt;""),1,0) + IF(OR(I216&lt;&gt;"",J216&lt;&gt;""),1,0) + IF(OR(K216&lt;&gt;"",L216&lt;&gt;""),1,0) + IF(OR(M216&lt;&gt;"",N216&lt;&gt;""),1,0)</f>
        <v/>
      </c>
      <c r="P216" s="9">
        <f>IF(O216=4,"✅ Đủ 4 nhiệm vụ",IF(O216&gt;0,"⏳ Đạt "&amp;O216&amp;"/4","❌ Chưa nộp"))</f>
        <v/>
      </c>
    </row>
    <row r="217">
      <c r="A217" s="9" t="n">
        <v>213</v>
      </c>
      <c r="B217" s="9" t="inlineStr">
        <is>
          <t>Tuần 4</t>
        </is>
      </c>
      <c r="C217" s="9" t="inlineStr">
        <is>
          <t>Thứ 5</t>
        </is>
      </c>
      <c r="D217" s="9" t="inlineStr">
        <is>
          <t>01/10/2026</t>
        </is>
      </c>
      <c r="E217" s="9" t="inlineStr">
        <is>
          <t>Ngày 24</t>
        </is>
      </c>
      <c r="F217" s="10" t="inlineStr">
        <is>
          <t>TanAnh Pham</t>
        </is>
      </c>
      <c r="G217" s="19" t="inlineStr"/>
      <c r="H217" s="19" t="inlineStr"/>
      <c r="I217" s="19" t="inlineStr"/>
      <c r="J217" s="19" t="inlineStr"/>
      <c r="K217" s="19" t="inlineStr"/>
      <c r="L217" s="19" t="inlineStr"/>
      <c r="M217" s="19" t="inlineStr"/>
      <c r="N217" s="19" t="inlineStr"/>
      <c r="O217" s="11">
        <f>IF(OR(G217&lt;&gt;"",H217&lt;&gt;""),1,0) + IF(OR(I217&lt;&gt;"",J217&lt;&gt;""),1,0) + IF(OR(K217&lt;&gt;"",L217&lt;&gt;""),1,0) + IF(OR(M217&lt;&gt;"",N217&lt;&gt;""),1,0)</f>
        <v/>
      </c>
      <c r="P217" s="9">
        <f>IF(O217=4,"✅ Đủ 4 nhiệm vụ",IF(O217&gt;0,"⏳ Đạt "&amp;O217&amp;"/4","❌ Chưa nộp"))</f>
        <v/>
      </c>
    </row>
    <row r="218">
      <c r="A218" s="9" t="n">
        <v>214</v>
      </c>
      <c r="B218" s="9" t="inlineStr">
        <is>
          <t>Tuần 4</t>
        </is>
      </c>
      <c r="C218" s="9" t="inlineStr">
        <is>
          <t>Thứ 5</t>
        </is>
      </c>
      <c r="D218" s="9" t="inlineStr">
        <is>
          <t>01/10/2026</t>
        </is>
      </c>
      <c r="E218" s="9" t="inlineStr">
        <is>
          <t>Ngày 24</t>
        </is>
      </c>
      <c r="F218" s="10" t="inlineStr">
        <is>
          <t>Thảo Collins Edu</t>
        </is>
      </c>
      <c r="G218" s="19" t="inlineStr"/>
      <c r="H218" s="19" t="inlineStr"/>
      <c r="I218" s="19" t="inlineStr"/>
      <c r="J218" s="19" t="inlineStr"/>
      <c r="K218" s="19" t="inlineStr"/>
      <c r="L218" s="19" t="inlineStr"/>
      <c r="M218" s="19" t="inlineStr"/>
      <c r="N218" s="19" t="inlineStr"/>
      <c r="O218" s="11">
        <f>IF(OR(G218&lt;&gt;"",H218&lt;&gt;""),1,0) + IF(OR(I218&lt;&gt;"",J218&lt;&gt;""),1,0) + IF(OR(K218&lt;&gt;"",L218&lt;&gt;""),1,0) + IF(OR(M218&lt;&gt;"",N218&lt;&gt;""),1,0)</f>
        <v/>
      </c>
      <c r="P218" s="9">
        <f>IF(O218=4,"✅ Đủ 4 nhiệm vụ",IF(O218&gt;0,"⏳ Đạt "&amp;O218&amp;"/4","❌ Chưa nộp"))</f>
        <v/>
      </c>
    </row>
    <row r="219">
      <c r="A219" s="9" t="n">
        <v>215</v>
      </c>
      <c r="B219" s="9" t="inlineStr">
        <is>
          <t>Tuần 4</t>
        </is>
      </c>
      <c r="C219" s="9" t="inlineStr">
        <is>
          <t>Thứ 5</t>
        </is>
      </c>
      <c r="D219" s="9" t="inlineStr">
        <is>
          <t>01/10/2026</t>
        </is>
      </c>
      <c r="E219" s="9" t="inlineStr">
        <is>
          <t>Ngày 24</t>
        </is>
      </c>
      <c r="F219" s="10" t="inlineStr">
        <is>
          <t>Trần Quế Lam</t>
        </is>
      </c>
      <c r="G219" s="19" t="inlineStr"/>
      <c r="H219" s="19" t="inlineStr"/>
      <c r="I219" s="19" t="inlineStr"/>
      <c r="J219" s="19" t="inlineStr"/>
      <c r="K219" s="19" t="inlineStr"/>
      <c r="L219" s="19" t="inlineStr"/>
      <c r="M219" s="19" t="inlineStr"/>
      <c r="N219" s="19" t="inlineStr"/>
      <c r="O219" s="11">
        <f>IF(OR(G219&lt;&gt;"",H219&lt;&gt;""),1,0) + IF(OR(I219&lt;&gt;"",J219&lt;&gt;""),1,0) + IF(OR(K219&lt;&gt;"",L219&lt;&gt;""),1,0) + IF(OR(M219&lt;&gt;"",N219&lt;&gt;""),1,0)</f>
        <v/>
      </c>
      <c r="P219" s="9">
        <f>IF(O219=4,"✅ Đủ 4 nhiệm vụ",IF(O219&gt;0,"⏳ Đạt "&amp;O219&amp;"/4","❌ Chưa nộp"))</f>
        <v/>
      </c>
    </row>
    <row r="220">
      <c r="A220" s="9" t="n">
        <v>216</v>
      </c>
      <c r="B220" s="9" t="inlineStr">
        <is>
          <t>Tuần 4</t>
        </is>
      </c>
      <c r="C220" s="9" t="inlineStr">
        <is>
          <t>Thứ 5</t>
        </is>
      </c>
      <c r="D220" s="9" t="inlineStr">
        <is>
          <t>01/10/2026</t>
        </is>
      </c>
      <c r="E220" s="9" t="inlineStr">
        <is>
          <t>Ngày 24</t>
        </is>
      </c>
      <c r="F220" s="10" t="inlineStr">
        <is>
          <t>Phạm Huyền</t>
        </is>
      </c>
      <c r="G220" s="19" t="inlineStr"/>
      <c r="H220" s="19" t="inlineStr"/>
      <c r="I220" s="19" t="inlineStr"/>
      <c r="J220" s="19" t="inlineStr"/>
      <c r="K220" s="19" t="inlineStr"/>
      <c r="L220" s="19" t="inlineStr"/>
      <c r="M220" s="19" t="inlineStr"/>
      <c r="N220" s="19" t="inlineStr"/>
      <c r="O220" s="11">
        <f>IF(OR(G220&lt;&gt;"",H220&lt;&gt;""),1,0) + IF(OR(I220&lt;&gt;"",J220&lt;&gt;""),1,0) + IF(OR(K220&lt;&gt;"",L220&lt;&gt;""),1,0) + IF(OR(M220&lt;&gt;"",N220&lt;&gt;""),1,0)</f>
        <v/>
      </c>
      <c r="P220" s="9">
        <f>IF(O220=4,"✅ Đủ 4 nhiệm vụ",IF(O220&gt;0,"⏳ Đạt "&amp;O220&amp;"/4","❌ Chưa nộp"))</f>
        <v/>
      </c>
    </row>
    <row r="221">
      <c r="A221" s="5" t="n">
        <v>217</v>
      </c>
      <c r="B221" s="5" t="inlineStr">
        <is>
          <t>Tuần 4</t>
        </is>
      </c>
      <c r="C221" s="5" t="inlineStr">
        <is>
          <t>Thứ 6</t>
        </is>
      </c>
      <c r="D221" s="5" t="inlineStr">
        <is>
          <t>02/10/2026</t>
        </is>
      </c>
      <c r="E221" s="5" t="inlineStr">
        <is>
          <t>Ngày 25</t>
        </is>
      </c>
      <c r="F221" s="6" t="inlineStr">
        <is>
          <t>Nancy</t>
        </is>
      </c>
      <c r="G221" s="18" t="inlineStr"/>
      <c r="H221" s="18" t="inlineStr"/>
      <c r="I221" s="18" t="inlineStr"/>
      <c r="J221" s="18" t="inlineStr"/>
      <c r="K221" s="18" t="inlineStr"/>
      <c r="L221" s="18" t="inlineStr"/>
      <c r="M221" s="18" t="inlineStr"/>
      <c r="N221" s="18" t="inlineStr"/>
      <c r="O221" s="7">
        <f>IF(OR(G221&lt;&gt;"",H221&lt;&gt;""),1,0) + IF(OR(I221&lt;&gt;"",J221&lt;&gt;""),1,0) + IF(OR(K221&lt;&gt;"",L221&lt;&gt;""),1,0) + IF(OR(M221&lt;&gt;"",N221&lt;&gt;""),1,0)</f>
        <v/>
      </c>
      <c r="P221" s="5">
        <f>IF(O221=4,"✅ Đủ 4 nhiệm vụ",IF(O221&gt;0,"⏳ Đạt "&amp;O221&amp;"/4","❌ Chưa nộp"))</f>
        <v/>
      </c>
    </row>
    <row r="222">
      <c r="A222" s="5" t="n">
        <v>218</v>
      </c>
      <c r="B222" s="5" t="inlineStr">
        <is>
          <t>Tuần 4</t>
        </is>
      </c>
      <c r="C222" s="5" t="inlineStr">
        <is>
          <t>Thứ 6</t>
        </is>
      </c>
      <c r="D222" s="5" t="inlineStr">
        <is>
          <t>02/10/2026</t>
        </is>
      </c>
      <c r="E222" s="5" t="inlineStr">
        <is>
          <t>Ngày 25</t>
        </is>
      </c>
      <c r="F222" s="6" t="inlineStr">
        <is>
          <t>Hoài Học Mãi</t>
        </is>
      </c>
      <c r="G222" s="18" t="inlineStr"/>
      <c r="H222" s="18" t="inlineStr"/>
      <c r="I222" s="18" t="inlineStr"/>
      <c r="J222" s="18" t="inlineStr"/>
      <c r="K222" s="18" t="inlineStr"/>
      <c r="L222" s="18" t="inlineStr"/>
      <c r="M222" s="18" t="inlineStr"/>
      <c r="N222" s="18" t="inlineStr"/>
      <c r="O222" s="7">
        <f>IF(OR(G222&lt;&gt;"",H222&lt;&gt;""),1,0) + IF(OR(I222&lt;&gt;"",J222&lt;&gt;""),1,0) + IF(OR(K222&lt;&gt;"",L222&lt;&gt;""),1,0) + IF(OR(M222&lt;&gt;"",N222&lt;&gt;""),1,0)</f>
        <v/>
      </c>
      <c r="P222" s="5">
        <f>IF(O222=4,"✅ Đủ 4 nhiệm vụ",IF(O222&gt;0,"⏳ Đạt "&amp;O222&amp;"/4","❌ Chưa nộp"))</f>
        <v/>
      </c>
    </row>
    <row r="223">
      <c r="A223" s="5" t="n">
        <v>219</v>
      </c>
      <c r="B223" s="5" t="inlineStr">
        <is>
          <t>Tuần 4</t>
        </is>
      </c>
      <c r="C223" s="5" t="inlineStr">
        <is>
          <t>Thứ 6</t>
        </is>
      </c>
      <c r="D223" s="5" t="inlineStr">
        <is>
          <t>02/10/2026</t>
        </is>
      </c>
      <c r="E223" s="5" t="inlineStr">
        <is>
          <t>Ngày 25</t>
        </is>
      </c>
      <c r="F223" s="6" t="inlineStr">
        <is>
          <t>Lambee</t>
        </is>
      </c>
      <c r="G223" s="18" t="inlineStr"/>
      <c r="H223" s="18" t="inlineStr"/>
      <c r="I223" s="18" t="inlineStr"/>
      <c r="J223" s="18" t="inlineStr"/>
      <c r="K223" s="18" t="inlineStr"/>
      <c r="L223" s="18" t="inlineStr"/>
      <c r="M223" s="18" t="inlineStr"/>
      <c r="N223" s="18" t="inlineStr"/>
      <c r="O223" s="7">
        <f>IF(OR(G223&lt;&gt;"",H223&lt;&gt;""),1,0) + IF(OR(I223&lt;&gt;"",J223&lt;&gt;""),1,0) + IF(OR(K223&lt;&gt;"",L223&lt;&gt;""),1,0) + IF(OR(M223&lt;&gt;"",N223&lt;&gt;""),1,0)</f>
        <v/>
      </c>
      <c r="P223" s="5">
        <f>IF(O223=4,"✅ Đủ 4 nhiệm vụ",IF(O223&gt;0,"⏳ Đạt "&amp;O223&amp;"/4","❌ Chưa nộp"))</f>
        <v/>
      </c>
    </row>
    <row r="224">
      <c r="A224" s="5" t="n">
        <v>220</v>
      </c>
      <c r="B224" s="5" t="inlineStr">
        <is>
          <t>Tuần 4</t>
        </is>
      </c>
      <c r="C224" s="5" t="inlineStr">
        <is>
          <t>Thứ 6</t>
        </is>
      </c>
      <c r="D224" s="5" t="inlineStr">
        <is>
          <t>02/10/2026</t>
        </is>
      </c>
      <c r="E224" s="5" t="inlineStr">
        <is>
          <t>Ngày 25</t>
        </is>
      </c>
      <c r="F224" s="6" t="inlineStr">
        <is>
          <t>Nhung Hoàng</t>
        </is>
      </c>
      <c r="G224" s="18" t="inlineStr"/>
      <c r="H224" s="18" t="inlineStr"/>
      <c r="I224" s="18" t="inlineStr"/>
      <c r="J224" s="18" t="inlineStr"/>
      <c r="K224" s="18" t="inlineStr"/>
      <c r="L224" s="18" t="inlineStr"/>
      <c r="M224" s="18" t="inlineStr"/>
      <c r="N224" s="18" t="inlineStr"/>
      <c r="O224" s="7">
        <f>IF(OR(G224&lt;&gt;"",H224&lt;&gt;""),1,0) + IF(OR(I224&lt;&gt;"",J224&lt;&gt;""),1,0) + IF(OR(K224&lt;&gt;"",L224&lt;&gt;""),1,0) + IF(OR(M224&lt;&gt;"",N224&lt;&gt;""),1,0)</f>
        <v/>
      </c>
      <c r="P224" s="5">
        <f>IF(O224=4,"✅ Đủ 4 nhiệm vụ",IF(O224&gt;0,"⏳ Đạt "&amp;O224&amp;"/4","❌ Chưa nộp"))</f>
        <v/>
      </c>
    </row>
    <row r="225">
      <c r="A225" s="5" t="n">
        <v>221</v>
      </c>
      <c r="B225" s="5" t="inlineStr">
        <is>
          <t>Tuần 4</t>
        </is>
      </c>
      <c r="C225" s="5" t="inlineStr">
        <is>
          <t>Thứ 6</t>
        </is>
      </c>
      <c r="D225" s="5" t="inlineStr">
        <is>
          <t>02/10/2026</t>
        </is>
      </c>
      <c r="E225" s="5" t="inlineStr">
        <is>
          <t>Ngày 25</t>
        </is>
      </c>
      <c r="F225" s="6" t="inlineStr">
        <is>
          <t>Quỳnh Thu</t>
        </is>
      </c>
      <c r="G225" s="18" t="inlineStr"/>
      <c r="H225" s="18" t="inlineStr"/>
      <c r="I225" s="18" t="inlineStr"/>
      <c r="J225" s="18" t="inlineStr"/>
      <c r="K225" s="18" t="inlineStr"/>
      <c r="L225" s="18" t="inlineStr"/>
      <c r="M225" s="18" t="inlineStr"/>
      <c r="N225" s="18" t="inlineStr"/>
      <c r="O225" s="7">
        <f>IF(OR(G225&lt;&gt;"",H225&lt;&gt;""),1,0) + IF(OR(I225&lt;&gt;"",J225&lt;&gt;""),1,0) + IF(OR(K225&lt;&gt;"",L225&lt;&gt;""),1,0) + IF(OR(M225&lt;&gt;"",N225&lt;&gt;""),1,0)</f>
        <v/>
      </c>
      <c r="P225" s="5">
        <f>IF(O225=4,"✅ Đủ 4 nhiệm vụ",IF(O225&gt;0,"⏳ Đạt "&amp;O225&amp;"/4","❌ Chưa nộp"))</f>
        <v/>
      </c>
    </row>
    <row r="226">
      <c r="A226" s="5" t="n">
        <v>222</v>
      </c>
      <c r="B226" s="5" t="inlineStr">
        <is>
          <t>Tuần 4</t>
        </is>
      </c>
      <c r="C226" s="5" t="inlineStr">
        <is>
          <t>Thứ 6</t>
        </is>
      </c>
      <c r="D226" s="5" t="inlineStr">
        <is>
          <t>02/10/2026</t>
        </is>
      </c>
      <c r="E226" s="5" t="inlineStr">
        <is>
          <t>Ngày 25</t>
        </is>
      </c>
      <c r="F226" s="6" t="inlineStr">
        <is>
          <t>TanAnh Pham</t>
        </is>
      </c>
      <c r="G226" s="18" t="inlineStr"/>
      <c r="H226" s="18" t="inlineStr"/>
      <c r="I226" s="18" t="inlineStr"/>
      <c r="J226" s="18" t="inlineStr"/>
      <c r="K226" s="18" t="inlineStr"/>
      <c r="L226" s="18" t="inlineStr"/>
      <c r="M226" s="18" t="inlineStr"/>
      <c r="N226" s="18" t="inlineStr"/>
      <c r="O226" s="7">
        <f>IF(OR(G226&lt;&gt;"",H226&lt;&gt;""),1,0) + IF(OR(I226&lt;&gt;"",J226&lt;&gt;""),1,0) + IF(OR(K226&lt;&gt;"",L226&lt;&gt;""),1,0) + IF(OR(M226&lt;&gt;"",N226&lt;&gt;""),1,0)</f>
        <v/>
      </c>
      <c r="P226" s="5">
        <f>IF(O226=4,"✅ Đủ 4 nhiệm vụ",IF(O226&gt;0,"⏳ Đạt "&amp;O226&amp;"/4","❌ Chưa nộp"))</f>
        <v/>
      </c>
    </row>
    <row r="227">
      <c r="A227" s="5" t="n">
        <v>223</v>
      </c>
      <c r="B227" s="5" t="inlineStr">
        <is>
          <t>Tuần 4</t>
        </is>
      </c>
      <c r="C227" s="5" t="inlineStr">
        <is>
          <t>Thứ 6</t>
        </is>
      </c>
      <c r="D227" s="5" t="inlineStr">
        <is>
          <t>02/10/2026</t>
        </is>
      </c>
      <c r="E227" s="5" t="inlineStr">
        <is>
          <t>Ngày 25</t>
        </is>
      </c>
      <c r="F227" s="6" t="inlineStr">
        <is>
          <t>Thảo Collins Edu</t>
        </is>
      </c>
      <c r="G227" s="18" t="inlineStr"/>
      <c r="H227" s="18" t="inlineStr"/>
      <c r="I227" s="18" t="inlineStr"/>
      <c r="J227" s="18" t="inlineStr"/>
      <c r="K227" s="18" t="inlineStr"/>
      <c r="L227" s="18" t="inlineStr"/>
      <c r="M227" s="18" t="inlineStr"/>
      <c r="N227" s="18" t="inlineStr"/>
      <c r="O227" s="7">
        <f>IF(OR(G227&lt;&gt;"",H227&lt;&gt;""),1,0) + IF(OR(I227&lt;&gt;"",J227&lt;&gt;""),1,0) + IF(OR(K227&lt;&gt;"",L227&lt;&gt;""),1,0) + IF(OR(M227&lt;&gt;"",N227&lt;&gt;""),1,0)</f>
        <v/>
      </c>
      <c r="P227" s="5">
        <f>IF(O227=4,"✅ Đủ 4 nhiệm vụ",IF(O227&gt;0,"⏳ Đạt "&amp;O227&amp;"/4","❌ Chưa nộp"))</f>
        <v/>
      </c>
    </row>
    <row r="228">
      <c r="A228" s="5" t="n">
        <v>224</v>
      </c>
      <c r="B228" s="5" t="inlineStr">
        <is>
          <t>Tuần 4</t>
        </is>
      </c>
      <c r="C228" s="5" t="inlineStr">
        <is>
          <t>Thứ 6</t>
        </is>
      </c>
      <c r="D228" s="5" t="inlineStr">
        <is>
          <t>02/10/2026</t>
        </is>
      </c>
      <c r="E228" s="5" t="inlineStr">
        <is>
          <t>Ngày 25</t>
        </is>
      </c>
      <c r="F228" s="6" t="inlineStr">
        <is>
          <t>Trần Quế Lam</t>
        </is>
      </c>
      <c r="G228" s="18" t="inlineStr"/>
      <c r="H228" s="18" t="inlineStr"/>
      <c r="I228" s="18" t="inlineStr"/>
      <c r="J228" s="18" t="inlineStr"/>
      <c r="K228" s="18" t="inlineStr"/>
      <c r="L228" s="18" t="inlineStr"/>
      <c r="M228" s="18" t="inlineStr"/>
      <c r="N228" s="18" t="inlineStr"/>
      <c r="O228" s="7">
        <f>IF(OR(G228&lt;&gt;"",H228&lt;&gt;""),1,0) + IF(OR(I228&lt;&gt;"",J228&lt;&gt;""),1,0) + IF(OR(K228&lt;&gt;"",L228&lt;&gt;""),1,0) + IF(OR(M228&lt;&gt;"",N228&lt;&gt;""),1,0)</f>
        <v/>
      </c>
      <c r="P228" s="5">
        <f>IF(O228=4,"✅ Đủ 4 nhiệm vụ",IF(O228&gt;0,"⏳ Đạt "&amp;O228&amp;"/4","❌ Chưa nộp"))</f>
        <v/>
      </c>
    </row>
    <row r="229">
      <c r="A229" s="5" t="n">
        <v>225</v>
      </c>
      <c r="B229" s="5" t="inlineStr">
        <is>
          <t>Tuần 4</t>
        </is>
      </c>
      <c r="C229" s="5" t="inlineStr">
        <is>
          <t>Thứ 6</t>
        </is>
      </c>
      <c r="D229" s="5" t="inlineStr">
        <is>
          <t>02/10/2026</t>
        </is>
      </c>
      <c r="E229" s="5" t="inlineStr">
        <is>
          <t>Ngày 25</t>
        </is>
      </c>
      <c r="F229" s="6" t="inlineStr">
        <is>
          <t>Phạm Huyền</t>
        </is>
      </c>
      <c r="G229" s="18" t="inlineStr"/>
      <c r="H229" s="18" t="inlineStr"/>
      <c r="I229" s="18" t="inlineStr"/>
      <c r="J229" s="18" t="inlineStr"/>
      <c r="K229" s="18" t="inlineStr"/>
      <c r="L229" s="18" t="inlineStr"/>
      <c r="M229" s="18" t="inlineStr"/>
      <c r="N229" s="18" t="inlineStr"/>
      <c r="O229" s="7">
        <f>IF(OR(G229&lt;&gt;"",H229&lt;&gt;""),1,0) + IF(OR(I229&lt;&gt;"",J229&lt;&gt;""),1,0) + IF(OR(K229&lt;&gt;"",L229&lt;&gt;""),1,0) + IF(OR(M229&lt;&gt;"",N229&lt;&gt;""),1,0)</f>
        <v/>
      </c>
      <c r="P229" s="5">
        <f>IF(O229=4,"✅ Đủ 4 nhiệm vụ",IF(O229&gt;0,"⏳ Đạt "&amp;O229&amp;"/4","❌ Chưa nộp"))</f>
        <v/>
      </c>
    </row>
    <row r="230">
      <c r="A230" s="9" t="n">
        <v>226</v>
      </c>
      <c r="B230" s="9" t="inlineStr">
        <is>
          <t>Tuần 4</t>
        </is>
      </c>
      <c r="C230" s="9" t="inlineStr">
        <is>
          <t>Thứ 7</t>
        </is>
      </c>
      <c r="D230" s="9" t="inlineStr">
        <is>
          <t>03/10/2026</t>
        </is>
      </c>
      <c r="E230" s="9" t="inlineStr">
        <is>
          <t>Ngày 26</t>
        </is>
      </c>
      <c r="F230" s="10" t="inlineStr">
        <is>
          <t>Nancy</t>
        </is>
      </c>
      <c r="G230" s="19" t="inlineStr"/>
      <c r="H230" s="19" t="inlineStr"/>
      <c r="I230" s="19" t="inlineStr"/>
      <c r="J230" s="19" t="inlineStr"/>
      <c r="K230" s="19" t="inlineStr"/>
      <c r="L230" s="19" t="inlineStr"/>
      <c r="M230" s="19" t="inlineStr"/>
      <c r="N230" s="19" t="inlineStr"/>
      <c r="O230" s="11">
        <f>IF(OR(G230&lt;&gt;"",H230&lt;&gt;""),1,0) + IF(OR(I230&lt;&gt;"",J230&lt;&gt;""),1,0) + IF(OR(K230&lt;&gt;"",L230&lt;&gt;""),1,0) + IF(OR(M230&lt;&gt;"",N230&lt;&gt;""),1,0)</f>
        <v/>
      </c>
      <c r="P230" s="9">
        <f>IF(O230=4,"✅ Đủ 4 nhiệm vụ",IF(O230&gt;0,"⏳ Đạt "&amp;O230&amp;"/4","❌ Chưa nộp"))</f>
        <v/>
      </c>
    </row>
    <row r="231">
      <c r="A231" s="9" t="n">
        <v>227</v>
      </c>
      <c r="B231" s="9" t="inlineStr">
        <is>
          <t>Tuần 4</t>
        </is>
      </c>
      <c r="C231" s="9" t="inlineStr">
        <is>
          <t>Thứ 7</t>
        </is>
      </c>
      <c r="D231" s="9" t="inlineStr">
        <is>
          <t>03/10/2026</t>
        </is>
      </c>
      <c r="E231" s="9" t="inlineStr">
        <is>
          <t>Ngày 26</t>
        </is>
      </c>
      <c r="F231" s="10" t="inlineStr">
        <is>
          <t>Hoài Học Mãi</t>
        </is>
      </c>
      <c r="G231" s="19" t="inlineStr"/>
      <c r="H231" s="19" t="inlineStr"/>
      <c r="I231" s="19" t="inlineStr"/>
      <c r="J231" s="19" t="inlineStr"/>
      <c r="K231" s="19" t="inlineStr"/>
      <c r="L231" s="19" t="inlineStr"/>
      <c r="M231" s="19" t="inlineStr"/>
      <c r="N231" s="19" t="inlineStr"/>
      <c r="O231" s="11">
        <f>IF(OR(G231&lt;&gt;"",H231&lt;&gt;""),1,0) + IF(OR(I231&lt;&gt;"",J231&lt;&gt;""),1,0) + IF(OR(K231&lt;&gt;"",L231&lt;&gt;""),1,0) + IF(OR(M231&lt;&gt;"",N231&lt;&gt;""),1,0)</f>
        <v/>
      </c>
      <c r="P231" s="9">
        <f>IF(O231=4,"✅ Đủ 4 nhiệm vụ",IF(O231&gt;0,"⏳ Đạt "&amp;O231&amp;"/4","❌ Chưa nộp"))</f>
        <v/>
      </c>
    </row>
    <row r="232">
      <c r="A232" s="9" t="n">
        <v>228</v>
      </c>
      <c r="B232" s="9" t="inlineStr">
        <is>
          <t>Tuần 4</t>
        </is>
      </c>
      <c r="C232" s="9" t="inlineStr">
        <is>
          <t>Thứ 7</t>
        </is>
      </c>
      <c r="D232" s="9" t="inlineStr">
        <is>
          <t>03/10/2026</t>
        </is>
      </c>
      <c r="E232" s="9" t="inlineStr">
        <is>
          <t>Ngày 26</t>
        </is>
      </c>
      <c r="F232" s="10" t="inlineStr">
        <is>
          <t>Lambee</t>
        </is>
      </c>
      <c r="G232" s="19" t="inlineStr"/>
      <c r="H232" s="19" t="inlineStr"/>
      <c r="I232" s="19" t="inlineStr"/>
      <c r="J232" s="19" t="inlineStr"/>
      <c r="K232" s="19" t="inlineStr"/>
      <c r="L232" s="19" t="inlineStr"/>
      <c r="M232" s="19" t="inlineStr"/>
      <c r="N232" s="19" t="inlineStr"/>
      <c r="O232" s="11">
        <f>IF(OR(G232&lt;&gt;"",H232&lt;&gt;""),1,0) + IF(OR(I232&lt;&gt;"",J232&lt;&gt;""),1,0) + IF(OR(K232&lt;&gt;"",L232&lt;&gt;""),1,0) + IF(OR(M232&lt;&gt;"",N232&lt;&gt;""),1,0)</f>
        <v/>
      </c>
      <c r="P232" s="9">
        <f>IF(O232=4,"✅ Đủ 4 nhiệm vụ",IF(O232&gt;0,"⏳ Đạt "&amp;O232&amp;"/4","❌ Chưa nộp"))</f>
        <v/>
      </c>
    </row>
    <row r="233">
      <c r="A233" s="9" t="n">
        <v>229</v>
      </c>
      <c r="B233" s="9" t="inlineStr">
        <is>
          <t>Tuần 4</t>
        </is>
      </c>
      <c r="C233" s="9" t="inlineStr">
        <is>
          <t>Thứ 7</t>
        </is>
      </c>
      <c r="D233" s="9" t="inlineStr">
        <is>
          <t>03/10/2026</t>
        </is>
      </c>
      <c r="E233" s="9" t="inlineStr">
        <is>
          <t>Ngày 26</t>
        </is>
      </c>
      <c r="F233" s="10" t="inlineStr">
        <is>
          <t>Nhung Hoàng</t>
        </is>
      </c>
      <c r="G233" s="19" t="inlineStr"/>
      <c r="H233" s="19" t="inlineStr"/>
      <c r="I233" s="19" t="inlineStr"/>
      <c r="J233" s="19" t="inlineStr"/>
      <c r="K233" s="19" t="inlineStr"/>
      <c r="L233" s="19" t="inlineStr"/>
      <c r="M233" s="19" t="inlineStr"/>
      <c r="N233" s="19" t="inlineStr"/>
      <c r="O233" s="11">
        <f>IF(OR(G233&lt;&gt;"",H233&lt;&gt;""),1,0) + IF(OR(I233&lt;&gt;"",J233&lt;&gt;""),1,0) + IF(OR(K233&lt;&gt;"",L233&lt;&gt;""),1,0) + IF(OR(M233&lt;&gt;"",N233&lt;&gt;""),1,0)</f>
        <v/>
      </c>
      <c r="P233" s="9">
        <f>IF(O233=4,"✅ Đủ 4 nhiệm vụ",IF(O233&gt;0,"⏳ Đạt "&amp;O233&amp;"/4","❌ Chưa nộp"))</f>
        <v/>
      </c>
    </row>
    <row r="234">
      <c r="A234" s="9" t="n">
        <v>230</v>
      </c>
      <c r="B234" s="9" t="inlineStr">
        <is>
          <t>Tuần 4</t>
        </is>
      </c>
      <c r="C234" s="9" t="inlineStr">
        <is>
          <t>Thứ 7</t>
        </is>
      </c>
      <c r="D234" s="9" t="inlineStr">
        <is>
          <t>03/10/2026</t>
        </is>
      </c>
      <c r="E234" s="9" t="inlineStr">
        <is>
          <t>Ngày 26</t>
        </is>
      </c>
      <c r="F234" s="10" t="inlineStr">
        <is>
          <t>Quỳnh Thu</t>
        </is>
      </c>
      <c r="G234" s="19" t="inlineStr"/>
      <c r="H234" s="19" t="inlineStr"/>
      <c r="I234" s="19" t="inlineStr"/>
      <c r="J234" s="19" t="inlineStr"/>
      <c r="K234" s="19" t="inlineStr"/>
      <c r="L234" s="19" t="inlineStr"/>
      <c r="M234" s="19" t="inlineStr"/>
      <c r="N234" s="19" t="inlineStr"/>
      <c r="O234" s="11">
        <f>IF(OR(G234&lt;&gt;"",H234&lt;&gt;""),1,0) + IF(OR(I234&lt;&gt;"",J234&lt;&gt;""),1,0) + IF(OR(K234&lt;&gt;"",L234&lt;&gt;""),1,0) + IF(OR(M234&lt;&gt;"",N234&lt;&gt;""),1,0)</f>
        <v/>
      </c>
      <c r="P234" s="9">
        <f>IF(O234=4,"✅ Đủ 4 nhiệm vụ",IF(O234&gt;0,"⏳ Đạt "&amp;O234&amp;"/4","❌ Chưa nộp"))</f>
        <v/>
      </c>
    </row>
    <row r="235">
      <c r="A235" s="9" t="n">
        <v>231</v>
      </c>
      <c r="B235" s="9" t="inlineStr">
        <is>
          <t>Tuần 4</t>
        </is>
      </c>
      <c r="C235" s="9" t="inlineStr">
        <is>
          <t>Thứ 7</t>
        </is>
      </c>
      <c r="D235" s="9" t="inlineStr">
        <is>
          <t>03/10/2026</t>
        </is>
      </c>
      <c r="E235" s="9" t="inlineStr">
        <is>
          <t>Ngày 26</t>
        </is>
      </c>
      <c r="F235" s="10" t="inlineStr">
        <is>
          <t>TanAnh Pham</t>
        </is>
      </c>
      <c r="G235" s="19" t="inlineStr"/>
      <c r="H235" s="19" t="inlineStr"/>
      <c r="I235" s="19" t="inlineStr"/>
      <c r="J235" s="19" t="inlineStr"/>
      <c r="K235" s="19" t="inlineStr"/>
      <c r="L235" s="19" t="inlineStr"/>
      <c r="M235" s="19" t="inlineStr"/>
      <c r="N235" s="19" t="inlineStr"/>
      <c r="O235" s="11">
        <f>IF(OR(G235&lt;&gt;"",H235&lt;&gt;""),1,0) + IF(OR(I235&lt;&gt;"",J235&lt;&gt;""),1,0) + IF(OR(K235&lt;&gt;"",L235&lt;&gt;""),1,0) + IF(OR(M235&lt;&gt;"",N235&lt;&gt;""),1,0)</f>
        <v/>
      </c>
      <c r="P235" s="9">
        <f>IF(O235=4,"✅ Đủ 4 nhiệm vụ",IF(O235&gt;0,"⏳ Đạt "&amp;O235&amp;"/4","❌ Chưa nộp"))</f>
        <v/>
      </c>
    </row>
    <row r="236">
      <c r="A236" s="9" t="n">
        <v>232</v>
      </c>
      <c r="B236" s="9" t="inlineStr">
        <is>
          <t>Tuần 4</t>
        </is>
      </c>
      <c r="C236" s="9" t="inlineStr">
        <is>
          <t>Thứ 7</t>
        </is>
      </c>
      <c r="D236" s="9" t="inlineStr">
        <is>
          <t>03/10/2026</t>
        </is>
      </c>
      <c r="E236" s="9" t="inlineStr">
        <is>
          <t>Ngày 26</t>
        </is>
      </c>
      <c r="F236" s="10" t="inlineStr">
        <is>
          <t>Thảo Collins Edu</t>
        </is>
      </c>
      <c r="G236" s="19" t="inlineStr"/>
      <c r="H236" s="19" t="inlineStr"/>
      <c r="I236" s="19" t="inlineStr"/>
      <c r="J236" s="19" t="inlineStr"/>
      <c r="K236" s="19" t="inlineStr"/>
      <c r="L236" s="19" t="inlineStr"/>
      <c r="M236" s="19" t="inlineStr"/>
      <c r="N236" s="19" t="inlineStr"/>
      <c r="O236" s="11">
        <f>IF(OR(G236&lt;&gt;"",H236&lt;&gt;""),1,0) + IF(OR(I236&lt;&gt;"",J236&lt;&gt;""),1,0) + IF(OR(K236&lt;&gt;"",L236&lt;&gt;""),1,0) + IF(OR(M236&lt;&gt;"",N236&lt;&gt;""),1,0)</f>
        <v/>
      </c>
      <c r="P236" s="9">
        <f>IF(O236=4,"✅ Đủ 4 nhiệm vụ",IF(O236&gt;0,"⏳ Đạt "&amp;O236&amp;"/4","❌ Chưa nộp"))</f>
        <v/>
      </c>
    </row>
    <row r="237">
      <c r="A237" s="9" t="n">
        <v>233</v>
      </c>
      <c r="B237" s="9" t="inlineStr">
        <is>
          <t>Tuần 4</t>
        </is>
      </c>
      <c r="C237" s="9" t="inlineStr">
        <is>
          <t>Thứ 7</t>
        </is>
      </c>
      <c r="D237" s="9" t="inlineStr">
        <is>
          <t>03/10/2026</t>
        </is>
      </c>
      <c r="E237" s="9" t="inlineStr">
        <is>
          <t>Ngày 26</t>
        </is>
      </c>
      <c r="F237" s="10" t="inlineStr">
        <is>
          <t>Trần Quế Lam</t>
        </is>
      </c>
      <c r="G237" s="19" t="inlineStr"/>
      <c r="H237" s="19" t="inlineStr"/>
      <c r="I237" s="19" t="inlineStr"/>
      <c r="J237" s="19" t="inlineStr"/>
      <c r="K237" s="19" t="inlineStr"/>
      <c r="L237" s="19" t="inlineStr"/>
      <c r="M237" s="19" t="inlineStr"/>
      <c r="N237" s="19" t="inlineStr"/>
      <c r="O237" s="11">
        <f>IF(OR(G237&lt;&gt;"",H237&lt;&gt;""),1,0) + IF(OR(I237&lt;&gt;"",J237&lt;&gt;""),1,0) + IF(OR(K237&lt;&gt;"",L237&lt;&gt;""),1,0) + IF(OR(M237&lt;&gt;"",N237&lt;&gt;""),1,0)</f>
        <v/>
      </c>
      <c r="P237" s="9">
        <f>IF(O237=4,"✅ Đủ 4 nhiệm vụ",IF(O237&gt;0,"⏳ Đạt "&amp;O237&amp;"/4","❌ Chưa nộp"))</f>
        <v/>
      </c>
    </row>
    <row r="238">
      <c r="A238" s="9" t="n">
        <v>234</v>
      </c>
      <c r="B238" s="9" t="inlineStr">
        <is>
          <t>Tuần 4</t>
        </is>
      </c>
      <c r="C238" s="9" t="inlineStr">
        <is>
          <t>Thứ 7</t>
        </is>
      </c>
      <c r="D238" s="9" t="inlineStr">
        <is>
          <t>03/10/2026</t>
        </is>
      </c>
      <c r="E238" s="9" t="inlineStr">
        <is>
          <t>Ngày 26</t>
        </is>
      </c>
      <c r="F238" s="10" t="inlineStr">
        <is>
          <t>Phạm Huyền</t>
        </is>
      </c>
      <c r="G238" s="19" t="inlineStr"/>
      <c r="H238" s="19" t="inlineStr"/>
      <c r="I238" s="19" t="inlineStr"/>
      <c r="J238" s="19" t="inlineStr"/>
      <c r="K238" s="19" t="inlineStr"/>
      <c r="L238" s="19" t="inlineStr"/>
      <c r="M238" s="19" t="inlineStr"/>
      <c r="N238" s="19" t="inlineStr"/>
      <c r="O238" s="11">
        <f>IF(OR(G238&lt;&gt;"",H238&lt;&gt;""),1,0) + IF(OR(I238&lt;&gt;"",J238&lt;&gt;""),1,0) + IF(OR(K238&lt;&gt;"",L238&lt;&gt;""),1,0) + IF(OR(M238&lt;&gt;"",N238&lt;&gt;""),1,0)</f>
        <v/>
      </c>
      <c r="P238" s="9">
        <f>IF(O238=4,"✅ Đủ 4 nhiệm vụ",IF(O238&gt;0,"⏳ Đạt "&amp;O238&amp;"/4","❌ Chưa nộp"))</f>
        <v/>
      </c>
    </row>
    <row r="239">
      <c r="A239" s="5" t="n">
        <v>235</v>
      </c>
      <c r="B239" s="5" t="inlineStr">
        <is>
          <t>Tuần 4</t>
        </is>
      </c>
      <c r="C239" s="5" t="inlineStr">
        <is>
          <t>Chủ Nhật</t>
        </is>
      </c>
      <c r="D239" s="5" t="inlineStr">
        <is>
          <t>04/10/2026</t>
        </is>
      </c>
      <c r="E239" s="5" t="inlineStr">
        <is>
          <t>Ngày 27</t>
        </is>
      </c>
      <c r="F239" s="6" t="inlineStr">
        <is>
          <t>Nancy</t>
        </is>
      </c>
      <c r="G239" s="18" t="inlineStr"/>
      <c r="H239" s="18" t="inlineStr"/>
      <c r="I239" s="18" t="inlineStr"/>
      <c r="J239" s="18" t="inlineStr"/>
      <c r="K239" s="18" t="inlineStr"/>
      <c r="L239" s="18" t="inlineStr"/>
      <c r="M239" s="18" t="inlineStr"/>
      <c r="N239" s="18" t="inlineStr"/>
      <c r="O239" s="7">
        <f>IF(OR(G239&lt;&gt;"",H239&lt;&gt;""),1,0) + IF(OR(I239&lt;&gt;"",J239&lt;&gt;""),1,0) + IF(OR(K239&lt;&gt;"",L239&lt;&gt;""),1,0) + IF(OR(M239&lt;&gt;"",N239&lt;&gt;""),1,0)</f>
        <v/>
      </c>
      <c r="P239" s="5">
        <f>IF(O239=4,"✅ Đủ 4 nhiệm vụ",IF(O239&gt;0,"⏳ Đạt "&amp;O239&amp;"/4","❌ Chưa nộp"))</f>
        <v/>
      </c>
    </row>
    <row r="240">
      <c r="A240" s="5" t="n">
        <v>236</v>
      </c>
      <c r="B240" s="5" t="inlineStr">
        <is>
          <t>Tuần 4</t>
        </is>
      </c>
      <c r="C240" s="5" t="inlineStr">
        <is>
          <t>Chủ Nhật</t>
        </is>
      </c>
      <c r="D240" s="5" t="inlineStr">
        <is>
          <t>04/10/2026</t>
        </is>
      </c>
      <c r="E240" s="5" t="inlineStr">
        <is>
          <t>Ngày 27</t>
        </is>
      </c>
      <c r="F240" s="6" t="inlineStr">
        <is>
          <t>Hoài Học Mãi</t>
        </is>
      </c>
      <c r="G240" s="18" t="inlineStr"/>
      <c r="H240" s="18" t="inlineStr"/>
      <c r="I240" s="18" t="inlineStr"/>
      <c r="J240" s="18" t="inlineStr"/>
      <c r="K240" s="18" t="inlineStr"/>
      <c r="L240" s="18" t="inlineStr"/>
      <c r="M240" s="18" t="inlineStr"/>
      <c r="N240" s="18" t="inlineStr"/>
      <c r="O240" s="7">
        <f>IF(OR(G240&lt;&gt;"",H240&lt;&gt;""),1,0) + IF(OR(I240&lt;&gt;"",J240&lt;&gt;""),1,0) + IF(OR(K240&lt;&gt;"",L240&lt;&gt;""),1,0) + IF(OR(M240&lt;&gt;"",N240&lt;&gt;""),1,0)</f>
        <v/>
      </c>
      <c r="P240" s="5">
        <f>IF(O240=4,"✅ Đủ 4 nhiệm vụ",IF(O240&gt;0,"⏳ Đạt "&amp;O240&amp;"/4","❌ Chưa nộp"))</f>
        <v/>
      </c>
    </row>
    <row r="241">
      <c r="A241" s="5" t="n">
        <v>237</v>
      </c>
      <c r="B241" s="5" t="inlineStr">
        <is>
          <t>Tuần 4</t>
        </is>
      </c>
      <c r="C241" s="5" t="inlineStr">
        <is>
          <t>Chủ Nhật</t>
        </is>
      </c>
      <c r="D241" s="5" t="inlineStr">
        <is>
          <t>04/10/2026</t>
        </is>
      </c>
      <c r="E241" s="5" t="inlineStr">
        <is>
          <t>Ngày 27</t>
        </is>
      </c>
      <c r="F241" s="6" t="inlineStr">
        <is>
          <t>Lambee</t>
        </is>
      </c>
      <c r="G241" s="18" t="inlineStr"/>
      <c r="H241" s="18" t="inlineStr"/>
      <c r="I241" s="18" t="inlineStr"/>
      <c r="J241" s="18" t="inlineStr"/>
      <c r="K241" s="18" t="inlineStr"/>
      <c r="L241" s="18" t="inlineStr"/>
      <c r="M241" s="18" t="inlineStr"/>
      <c r="N241" s="18" t="inlineStr"/>
      <c r="O241" s="7">
        <f>IF(OR(G241&lt;&gt;"",H241&lt;&gt;""),1,0) + IF(OR(I241&lt;&gt;"",J241&lt;&gt;""),1,0) + IF(OR(K241&lt;&gt;"",L241&lt;&gt;""),1,0) + IF(OR(M241&lt;&gt;"",N241&lt;&gt;""),1,0)</f>
        <v/>
      </c>
      <c r="P241" s="5">
        <f>IF(O241=4,"✅ Đủ 4 nhiệm vụ",IF(O241&gt;0,"⏳ Đạt "&amp;O241&amp;"/4","❌ Chưa nộp"))</f>
        <v/>
      </c>
    </row>
    <row r="242">
      <c r="A242" s="5" t="n">
        <v>238</v>
      </c>
      <c r="B242" s="5" t="inlineStr">
        <is>
          <t>Tuần 4</t>
        </is>
      </c>
      <c r="C242" s="5" t="inlineStr">
        <is>
          <t>Chủ Nhật</t>
        </is>
      </c>
      <c r="D242" s="5" t="inlineStr">
        <is>
          <t>04/10/2026</t>
        </is>
      </c>
      <c r="E242" s="5" t="inlineStr">
        <is>
          <t>Ngày 27</t>
        </is>
      </c>
      <c r="F242" s="6" t="inlineStr">
        <is>
          <t>Nhung Hoàng</t>
        </is>
      </c>
      <c r="G242" s="18" t="inlineStr"/>
      <c r="H242" s="18" t="inlineStr"/>
      <c r="I242" s="18" t="inlineStr"/>
      <c r="J242" s="18" t="inlineStr"/>
      <c r="K242" s="18" t="inlineStr"/>
      <c r="L242" s="18" t="inlineStr"/>
      <c r="M242" s="18" t="inlineStr"/>
      <c r="N242" s="18" t="inlineStr"/>
      <c r="O242" s="7">
        <f>IF(OR(G242&lt;&gt;"",H242&lt;&gt;""),1,0) + IF(OR(I242&lt;&gt;"",J242&lt;&gt;""),1,0) + IF(OR(K242&lt;&gt;"",L242&lt;&gt;""),1,0) + IF(OR(M242&lt;&gt;"",N242&lt;&gt;""),1,0)</f>
        <v/>
      </c>
      <c r="P242" s="5">
        <f>IF(O242=4,"✅ Đủ 4 nhiệm vụ",IF(O242&gt;0,"⏳ Đạt "&amp;O242&amp;"/4","❌ Chưa nộp"))</f>
        <v/>
      </c>
    </row>
    <row r="243">
      <c r="A243" s="5" t="n">
        <v>239</v>
      </c>
      <c r="B243" s="5" t="inlineStr">
        <is>
          <t>Tuần 4</t>
        </is>
      </c>
      <c r="C243" s="5" t="inlineStr">
        <is>
          <t>Chủ Nhật</t>
        </is>
      </c>
      <c r="D243" s="5" t="inlineStr">
        <is>
          <t>04/10/2026</t>
        </is>
      </c>
      <c r="E243" s="5" t="inlineStr">
        <is>
          <t>Ngày 27</t>
        </is>
      </c>
      <c r="F243" s="6" t="inlineStr">
        <is>
          <t>Quỳnh Thu</t>
        </is>
      </c>
      <c r="G243" s="18" t="inlineStr"/>
      <c r="H243" s="18" t="inlineStr"/>
      <c r="I243" s="18" t="inlineStr"/>
      <c r="J243" s="18" t="inlineStr"/>
      <c r="K243" s="18" t="inlineStr"/>
      <c r="L243" s="18" t="inlineStr"/>
      <c r="M243" s="18" t="inlineStr"/>
      <c r="N243" s="18" t="inlineStr"/>
      <c r="O243" s="7">
        <f>IF(OR(G243&lt;&gt;"",H243&lt;&gt;""),1,0) + IF(OR(I243&lt;&gt;"",J243&lt;&gt;""),1,0) + IF(OR(K243&lt;&gt;"",L243&lt;&gt;""),1,0) + IF(OR(M243&lt;&gt;"",N243&lt;&gt;""),1,0)</f>
        <v/>
      </c>
      <c r="P243" s="5">
        <f>IF(O243=4,"✅ Đủ 4 nhiệm vụ",IF(O243&gt;0,"⏳ Đạt "&amp;O243&amp;"/4","❌ Chưa nộp"))</f>
        <v/>
      </c>
    </row>
    <row r="244">
      <c r="A244" s="5" t="n">
        <v>240</v>
      </c>
      <c r="B244" s="5" t="inlineStr">
        <is>
          <t>Tuần 4</t>
        </is>
      </c>
      <c r="C244" s="5" t="inlineStr">
        <is>
          <t>Chủ Nhật</t>
        </is>
      </c>
      <c r="D244" s="5" t="inlineStr">
        <is>
          <t>04/10/2026</t>
        </is>
      </c>
      <c r="E244" s="5" t="inlineStr">
        <is>
          <t>Ngày 27</t>
        </is>
      </c>
      <c r="F244" s="6" t="inlineStr">
        <is>
          <t>TanAnh Pham</t>
        </is>
      </c>
      <c r="G244" s="18" t="inlineStr"/>
      <c r="H244" s="18" t="inlineStr"/>
      <c r="I244" s="18" t="inlineStr"/>
      <c r="J244" s="18" t="inlineStr"/>
      <c r="K244" s="18" t="inlineStr"/>
      <c r="L244" s="18" t="inlineStr"/>
      <c r="M244" s="18" t="inlineStr"/>
      <c r="N244" s="18" t="inlineStr"/>
      <c r="O244" s="7">
        <f>IF(OR(G244&lt;&gt;"",H244&lt;&gt;""),1,0) + IF(OR(I244&lt;&gt;"",J244&lt;&gt;""),1,0) + IF(OR(K244&lt;&gt;"",L244&lt;&gt;""),1,0) + IF(OR(M244&lt;&gt;"",N244&lt;&gt;""),1,0)</f>
        <v/>
      </c>
      <c r="P244" s="5">
        <f>IF(O244=4,"✅ Đủ 4 nhiệm vụ",IF(O244&gt;0,"⏳ Đạt "&amp;O244&amp;"/4","❌ Chưa nộp"))</f>
        <v/>
      </c>
    </row>
    <row r="245">
      <c r="A245" s="5" t="n">
        <v>241</v>
      </c>
      <c r="B245" s="5" t="inlineStr">
        <is>
          <t>Tuần 4</t>
        </is>
      </c>
      <c r="C245" s="5" t="inlineStr">
        <is>
          <t>Chủ Nhật</t>
        </is>
      </c>
      <c r="D245" s="5" t="inlineStr">
        <is>
          <t>04/10/2026</t>
        </is>
      </c>
      <c r="E245" s="5" t="inlineStr">
        <is>
          <t>Ngày 27</t>
        </is>
      </c>
      <c r="F245" s="6" t="inlineStr">
        <is>
          <t>Thảo Collins Edu</t>
        </is>
      </c>
      <c r="G245" s="18" t="inlineStr"/>
      <c r="H245" s="18" t="inlineStr"/>
      <c r="I245" s="18" t="inlineStr"/>
      <c r="J245" s="18" t="inlineStr"/>
      <c r="K245" s="18" t="inlineStr"/>
      <c r="L245" s="18" t="inlineStr"/>
      <c r="M245" s="18" t="inlineStr"/>
      <c r="N245" s="18" t="inlineStr"/>
      <c r="O245" s="7">
        <f>IF(OR(G245&lt;&gt;"",H245&lt;&gt;""),1,0) + IF(OR(I245&lt;&gt;"",J245&lt;&gt;""),1,0) + IF(OR(K245&lt;&gt;"",L245&lt;&gt;""),1,0) + IF(OR(M245&lt;&gt;"",N245&lt;&gt;""),1,0)</f>
        <v/>
      </c>
      <c r="P245" s="5">
        <f>IF(O245=4,"✅ Đủ 4 nhiệm vụ",IF(O245&gt;0,"⏳ Đạt "&amp;O245&amp;"/4","❌ Chưa nộp"))</f>
        <v/>
      </c>
    </row>
    <row r="246">
      <c r="A246" s="5" t="n">
        <v>242</v>
      </c>
      <c r="B246" s="5" t="inlineStr">
        <is>
          <t>Tuần 4</t>
        </is>
      </c>
      <c r="C246" s="5" t="inlineStr">
        <is>
          <t>Chủ Nhật</t>
        </is>
      </c>
      <c r="D246" s="5" t="inlineStr">
        <is>
          <t>04/10/2026</t>
        </is>
      </c>
      <c r="E246" s="5" t="inlineStr">
        <is>
          <t>Ngày 27</t>
        </is>
      </c>
      <c r="F246" s="6" t="inlineStr">
        <is>
          <t>Trần Quế Lam</t>
        </is>
      </c>
      <c r="G246" s="18" t="inlineStr"/>
      <c r="H246" s="18" t="inlineStr"/>
      <c r="I246" s="18" t="inlineStr"/>
      <c r="J246" s="18" t="inlineStr"/>
      <c r="K246" s="18" t="inlineStr"/>
      <c r="L246" s="18" t="inlineStr"/>
      <c r="M246" s="18" t="inlineStr"/>
      <c r="N246" s="18" t="inlineStr"/>
      <c r="O246" s="7">
        <f>IF(OR(G246&lt;&gt;"",H246&lt;&gt;""),1,0) + IF(OR(I246&lt;&gt;"",J246&lt;&gt;""),1,0) + IF(OR(K246&lt;&gt;"",L246&lt;&gt;""),1,0) + IF(OR(M246&lt;&gt;"",N246&lt;&gt;""),1,0)</f>
        <v/>
      </c>
      <c r="P246" s="5">
        <f>IF(O246=4,"✅ Đủ 4 nhiệm vụ",IF(O246&gt;0,"⏳ Đạt "&amp;O246&amp;"/4","❌ Chưa nộp"))</f>
        <v/>
      </c>
    </row>
    <row r="247">
      <c r="A247" s="5" t="n">
        <v>243</v>
      </c>
      <c r="B247" s="5" t="inlineStr">
        <is>
          <t>Tuần 4</t>
        </is>
      </c>
      <c r="C247" s="5" t="inlineStr">
        <is>
          <t>Chủ Nhật</t>
        </is>
      </c>
      <c r="D247" s="5" t="inlineStr">
        <is>
          <t>04/10/2026</t>
        </is>
      </c>
      <c r="E247" s="5" t="inlineStr">
        <is>
          <t>Ngày 27</t>
        </is>
      </c>
      <c r="F247" s="6" t="inlineStr">
        <is>
          <t>Phạm Huyền</t>
        </is>
      </c>
      <c r="G247" s="18" t="inlineStr"/>
      <c r="H247" s="18" t="inlineStr"/>
      <c r="I247" s="18" t="inlineStr"/>
      <c r="J247" s="18" t="inlineStr"/>
      <c r="K247" s="18" t="inlineStr"/>
      <c r="L247" s="18" t="inlineStr"/>
      <c r="M247" s="18" t="inlineStr"/>
      <c r="N247" s="18" t="inlineStr"/>
      <c r="O247" s="7">
        <f>IF(OR(G247&lt;&gt;"",H247&lt;&gt;""),1,0) + IF(OR(I247&lt;&gt;"",J247&lt;&gt;""),1,0) + IF(OR(K247&lt;&gt;"",L247&lt;&gt;""),1,0) + IF(OR(M247&lt;&gt;"",N247&lt;&gt;""),1,0)</f>
        <v/>
      </c>
      <c r="P247" s="5">
        <f>IF(O247=4,"✅ Đủ 4 nhiệm vụ",IF(O247&gt;0,"⏳ Đạt "&amp;O247&amp;"/4","❌ Chưa nộp"))</f>
        <v/>
      </c>
    </row>
    <row r="248">
      <c r="A248" s="9" t="n">
        <v>244</v>
      </c>
      <c r="B248" s="9" t="inlineStr">
        <is>
          <t>Tuần 4</t>
        </is>
      </c>
      <c r="C248" s="9" t="inlineStr">
        <is>
          <t>Thứ 2</t>
        </is>
      </c>
      <c r="D248" s="9" t="inlineStr">
        <is>
          <t>05/10/2026</t>
        </is>
      </c>
      <c r="E248" s="9" t="inlineStr">
        <is>
          <t>Ngày 28</t>
        </is>
      </c>
      <c r="F248" s="10" t="inlineStr">
        <is>
          <t>Nancy</t>
        </is>
      </c>
      <c r="G248" s="19" t="inlineStr"/>
      <c r="H248" s="19" t="inlineStr"/>
      <c r="I248" s="19" t="inlineStr"/>
      <c r="J248" s="19" t="inlineStr"/>
      <c r="K248" s="19" t="inlineStr"/>
      <c r="L248" s="19" t="inlineStr"/>
      <c r="M248" s="19" t="inlineStr"/>
      <c r="N248" s="19" t="inlineStr"/>
      <c r="O248" s="11">
        <f>IF(OR(G248&lt;&gt;"",H248&lt;&gt;""),1,0) + IF(OR(I248&lt;&gt;"",J248&lt;&gt;""),1,0) + IF(OR(K248&lt;&gt;"",L248&lt;&gt;""),1,0) + IF(OR(M248&lt;&gt;"",N248&lt;&gt;""),1,0)</f>
        <v/>
      </c>
      <c r="P248" s="9">
        <f>IF(O248=4,"✅ Đủ 4 nhiệm vụ",IF(O248&gt;0,"⏳ Đạt "&amp;O248&amp;"/4","❌ Chưa nộp"))</f>
        <v/>
      </c>
    </row>
    <row r="249">
      <c r="A249" s="9" t="n">
        <v>245</v>
      </c>
      <c r="B249" s="9" t="inlineStr">
        <is>
          <t>Tuần 4</t>
        </is>
      </c>
      <c r="C249" s="9" t="inlineStr">
        <is>
          <t>Thứ 2</t>
        </is>
      </c>
      <c r="D249" s="9" t="inlineStr">
        <is>
          <t>05/10/2026</t>
        </is>
      </c>
      <c r="E249" s="9" t="inlineStr">
        <is>
          <t>Ngày 28</t>
        </is>
      </c>
      <c r="F249" s="10" t="inlineStr">
        <is>
          <t>Hoài Học Mãi</t>
        </is>
      </c>
      <c r="G249" s="19" t="inlineStr"/>
      <c r="H249" s="19" t="inlineStr"/>
      <c r="I249" s="19" t="inlineStr"/>
      <c r="J249" s="19" t="inlineStr"/>
      <c r="K249" s="19" t="inlineStr"/>
      <c r="L249" s="19" t="inlineStr"/>
      <c r="M249" s="19" t="inlineStr"/>
      <c r="N249" s="19" t="inlineStr"/>
      <c r="O249" s="11">
        <f>IF(OR(G249&lt;&gt;"",H249&lt;&gt;""),1,0) + IF(OR(I249&lt;&gt;"",J249&lt;&gt;""),1,0) + IF(OR(K249&lt;&gt;"",L249&lt;&gt;""),1,0) + IF(OR(M249&lt;&gt;"",N249&lt;&gt;""),1,0)</f>
        <v/>
      </c>
      <c r="P249" s="9">
        <f>IF(O249=4,"✅ Đủ 4 nhiệm vụ",IF(O249&gt;0,"⏳ Đạt "&amp;O249&amp;"/4","❌ Chưa nộp"))</f>
        <v/>
      </c>
    </row>
    <row r="250">
      <c r="A250" s="9" t="n">
        <v>246</v>
      </c>
      <c r="B250" s="9" t="inlineStr">
        <is>
          <t>Tuần 4</t>
        </is>
      </c>
      <c r="C250" s="9" t="inlineStr">
        <is>
          <t>Thứ 2</t>
        </is>
      </c>
      <c r="D250" s="9" t="inlineStr">
        <is>
          <t>05/10/2026</t>
        </is>
      </c>
      <c r="E250" s="9" t="inlineStr">
        <is>
          <t>Ngày 28</t>
        </is>
      </c>
      <c r="F250" s="10" t="inlineStr">
        <is>
          <t>Lambee</t>
        </is>
      </c>
      <c r="G250" s="19" t="inlineStr"/>
      <c r="H250" s="19" t="inlineStr"/>
      <c r="I250" s="19" t="inlineStr"/>
      <c r="J250" s="19" t="inlineStr"/>
      <c r="K250" s="19" t="inlineStr"/>
      <c r="L250" s="19" t="inlineStr"/>
      <c r="M250" s="19" t="inlineStr"/>
      <c r="N250" s="19" t="inlineStr"/>
      <c r="O250" s="11">
        <f>IF(OR(G250&lt;&gt;"",H250&lt;&gt;""),1,0) + IF(OR(I250&lt;&gt;"",J250&lt;&gt;""),1,0) + IF(OR(K250&lt;&gt;"",L250&lt;&gt;""),1,0) + IF(OR(M250&lt;&gt;"",N250&lt;&gt;""),1,0)</f>
        <v/>
      </c>
      <c r="P250" s="9">
        <f>IF(O250=4,"✅ Đủ 4 nhiệm vụ",IF(O250&gt;0,"⏳ Đạt "&amp;O250&amp;"/4","❌ Chưa nộp"))</f>
        <v/>
      </c>
    </row>
    <row r="251">
      <c r="A251" s="9" t="n">
        <v>247</v>
      </c>
      <c r="B251" s="9" t="inlineStr">
        <is>
          <t>Tuần 4</t>
        </is>
      </c>
      <c r="C251" s="9" t="inlineStr">
        <is>
          <t>Thứ 2</t>
        </is>
      </c>
      <c r="D251" s="9" t="inlineStr">
        <is>
          <t>05/10/2026</t>
        </is>
      </c>
      <c r="E251" s="9" t="inlineStr">
        <is>
          <t>Ngày 28</t>
        </is>
      </c>
      <c r="F251" s="10" t="inlineStr">
        <is>
          <t>Nhung Hoàng</t>
        </is>
      </c>
      <c r="G251" s="19" t="inlineStr"/>
      <c r="H251" s="19" t="inlineStr"/>
      <c r="I251" s="19" t="inlineStr"/>
      <c r="J251" s="19" t="inlineStr"/>
      <c r="K251" s="19" t="inlineStr"/>
      <c r="L251" s="19" t="inlineStr"/>
      <c r="M251" s="19" t="inlineStr"/>
      <c r="N251" s="19" t="inlineStr"/>
      <c r="O251" s="11">
        <f>IF(OR(G251&lt;&gt;"",H251&lt;&gt;""),1,0) + IF(OR(I251&lt;&gt;"",J251&lt;&gt;""),1,0) + IF(OR(K251&lt;&gt;"",L251&lt;&gt;""),1,0) + IF(OR(M251&lt;&gt;"",N251&lt;&gt;""),1,0)</f>
        <v/>
      </c>
      <c r="P251" s="9">
        <f>IF(O251=4,"✅ Đủ 4 nhiệm vụ",IF(O251&gt;0,"⏳ Đạt "&amp;O251&amp;"/4","❌ Chưa nộp"))</f>
        <v/>
      </c>
    </row>
    <row r="252">
      <c r="A252" s="9" t="n">
        <v>248</v>
      </c>
      <c r="B252" s="9" t="inlineStr">
        <is>
          <t>Tuần 4</t>
        </is>
      </c>
      <c r="C252" s="9" t="inlineStr">
        <is>
          <t>Thứ 2</t>
        </is>
      </c>
      <c r="D252" s="9" t="inlineStr">
        <is>
          <t>05/10/2026</t>
        </is>
      </c>
      <c r="E252" s="9" t="inlineStr">
        <is>
          <t>Ngày 28</t>
        </is>
      </c>
      <c r="F252" s="10" t="inlineStr">
        <is>
          <t>Quỳnh Thu</t>
        </is>
      </c>
      <c r="G252" s="19" t="inlineStr"/>
      <c r="H252" s="19" t="inlineStr"/>
      <c r="I252" s="19" t="inlineStr"/>
      <c r="J252" s="19" t="inlineStr"/>
      <c r="K252" s="19" t="inlineStr"/>
      <c r="L252" s="19" t="inlineStr"/>
      <c r="M252" s="19" t="inlineStr"/>
      <c r="N252" s="19" t="inlineStr"/>
      <c r="O252" s="11">
        <f>IF(OR(G252&lt;&gt;"",H252&lt;&gt;""),1,0) + IF(OR(I252&lt;&gt;"",J252&lt;&gt;""),1,0) + IF(OR(K252&lt;&gt;"",L252&lt;&gt;""),1,0) + IF(OR(M252&lt;&gt;"",N252&lt;&gt;""),1,0)</f>
        <v/>
      </c>
      <c r="P252" s="9">
        <f>IF(O252=4,"✅ Đủ 4 nhiệm vụ",IF(O252&gt;0,"⏳ Đạt "&amp;O252&amp;"/4","❌ Chưa nộp"))</f>
        <v/>
      </c>
    </row>
    <row r="253">
      <c r="A253" s="9" t="n">
        <v>249</v>
      </c>
      <c r="B253" s="9" t="inlineStr">
        <is>
          <t>Tuần 4</t>
        </is>
      </c>
      <c r="C253" s="9" t="inlineStr">
        <is>
          <t>Thứ 2</t>
        </is>
      </c>
      <c r="D253" s="9" t="inlineStr">
        <is>
          <t>05/10/2026</t>
        </is>
      </c>
      <c r="E253" s="9" t="inlineStr">
        <is>
          <t>Ngày 28</t>
        </is>
      </c>
      <c r="F253" s="10" t="inlineStr">
        <is>
          <t>TanAnh Pham</t>
        </is>
      </c>
      <c r="G253" s="19" t="inlineStr"/>
      <c r="H253" s="19" t="inlineStr"/>
      <c r="I253" s="19" t="inlineStr"/>
      <c r="J253" s="19" t="inlineStr"/>
      <c r="K253" s="19" t="inlineStr"/>
      <c r="L253" s="19" t="inlineStr"/>
      <c r="M253" s="19" t="inlineStr"/>
      <c r="N253" s="19" t="inlineStr"/>
      <c r="O253" s="11">
        <f>IF(OR(G253&lt;&gt;"",H253&lt;&gt;""),1,0) + IF(OR(I253&lt;&gt;"",J253&lt;&gt;""),1,0) + IF(OR(K253&lt;&gt;"",L253&lt;&gt;""),1,0) + IF(OR(M253&lt;&gt;"",N253&lt;&gt;""),1,0)</f>
        <v/>
      </c>
      <c r="P253" s="9">
        <f>IF(O253=4,"✅ Đủ 4 nhiệm vụ",IF(O253&gt;0,"⏳ Đạt "&amp;O253&amp;"/4","❌ Chưa nộp"))</f>
        <v/>
      </c>
    </row>
    <row r="254">
      <c r="A254" s="9" t="n">
        <v>250</v>
      </c>
      <c r="B254" s="9" t="inlineStr">
        <is>
          <t>Tuần 4</t>
        </is>
      </c>
      <c r="C254" s="9" t="inlineStr">
        <is>
          <t>Thứ 2</t>
        </is>
      </c>
      <c r="D254" s="9" t="inlineStr">
        <is>
          <t>05/10/2026</t>
        </is>
      </c>
      <c r="E254" s="9" t="inlineStr">
        <is>
          <t>Ngày 28</t>
        </is>
      </c>
      <c r="F254" s="10" t="inlineStr">
        <is>
          <t>Thảo Collins Edu</t>
        </is>
      </c>
      <c r="G254" s="19" t="inlineStr"/>
      <c r="H254" s="19" t="inlineStr"/>
      <c r="I254" s="19" t="inlineStr"/>
      <c r="J254" s="19" t="inlineStr"/>
      <c r="K254" s="19" t="inlineStr"/>
      <c r="L254" s="19" t="inlineStr"/>
      <c r="M254" s="19" t="inlineStr"/>
      <c r="N254" s="19" t="inlineStr"/>
      <c r="O254" s="11">
        <f>IF(OR(G254&lt;&gt;"",H254&lt;&gt;""),1,0) + IF(OR(I254&lt;&gt;"",J254&lt;&gt;""),1,0) + IF(OR(K254&lt;&gt;"",L254&lt;&gt;""),1,0) + IF(OR(M254&lt;&gt;"",N254&lt;&gt;""),1,0)</f>
        <v/>
      </c>
      <c r="P254" s="9">
        <f>IF(O254=4,"✅ Đủ 4 nhiệm vụ",IF(O254&gt;0,"⏳ Đạt "&amp;O254&amp;"/4","❌ Chưa nộp"))</f>
        <v/>
      </c>
    </row>
    <row r="255">
      <c r="A255" s="9" t="n">
        <v>251</v>
      </c>
      <c r="B255" s="9" t="inlineStr">
        <is>
          <t>Tuần 4</t>
        </is>
      </c>
      <c r="C255" s="9" t="inlineStr">
        <is>
          <t>Thứ 2</t>
        </is>
      </c>
      <c r="D255" s="9" t="inlineStr">
        <is>
          <t>05/10/2026</t>
        </is>
      </c>
      <c r="E255" s="9" t="inlineStr">
        <is>
          <t>Ngày 28</t>
        </is>
      </c>
      <c r="F255" s="10" t="inlineStr">
        <is>
          <t>Trần Quế Lam</t>
        </is>
      </c>
      <c r="G255" s="19" t="inlineStr"/>
      <c r="H255" s="19" t="inlineStr"/>
      <c r="I255" s="19" t="inlineStr"/>
      <c r="J255" s="19" t="inlineStr"/>
      <c r="K255" s="19" t="inlineStr"/>
      <c r="L255" s="19" t="inlineStr"/>
      <c r="M255" s="19" t="inlineStr"/>
      <c r="N255" s="19" t="inlineStr"/>
      <c r="O255" s="11">
        <f>IF(OR(G255&lt;&gt;"",H255&lt;&gt;""),1,0) + IF(OR(I255&lt;&gt;"",J255&lt;&gt;""),1,0) + IF(OR(K255&lt;&gt;"",L255&lt;&gt;""),1,0) + IF(OR(M255&lt;&gt;"",N255&lt;&gt;""),1,0)</f>
        <v/>
      </c>
      <c r="P255" s="9">
        <f>IF(O255=4,"✅ Đủ 4 nhiệm vụ",IF(O255&gt;0,"⏳ Đạt "&amp;O255&amp;"/4","❌ Chưa nộp"))</f>
        <v/>
      </c>
    </row>
    <row r="256">
      <c r="A256" s="9" t="n">
        <v>252</v>
      </c>
      <c r="B256" s="9" t="inlineStr">
        <is>
          <t>Tuần 4</t>
        </is>
      </c>
      <c r="C256" s="9" t="inlineStr">
        <is>
          <t>Thứ 2</t>
        </is>
      </c>
      <c r="D256" s="9" t="inlineStr">
        <is>
          <t>05/10/2026</t>
        </is>
      </c>
      <c r="E256" s="9" t="inlineStr">
        <is>
          <t>Ngày 28</t>
        </is>
      </c>
      <c r="F256" s="10" t="inlineStr">
        <is>
          <t>Phạm Huyền</t>
        </is>
      </c>
      <c r="G256" s="19" t="inlineStr"/>
      <c r="H256" s="19" t="inlineStr"/>
      <c r="I256" s="19" t="inlineStr"/>
      <c r="J256" s="19" t="inlineStr"/>
      <c r="K256" s="19" t="inlineStr"/>
      <c r="L256" s="19" t="inlineStr"/>
      <c r="M256" s="19" t="inlineStr"/>
      <c r="N256" s="19" t="inlineStr"/>
      <c r="O256" s="11">
        <f>IF(OR(G256&lt;&gt;"",H256&lt;&gt;""),1,0) + IF(OR(I256&lt;&gt;"",J256&lt;&gt;""),1,0) + IF(OR(K256&lt;&gt;"",L256&lt;&gt;""),1,0) + IF(OR(M256&lt;&gt;"",N256&lt;&gt;""),1,0)</f>
        <v/>
      </c>
      <c r="P256" s="9">
        <f>IF(O256=4,"✅ Đủ 4 nhiệm vụ",IF(O256&gt;0,"⏳ Đạt "&amp;O256&amp;"/4","❌ Chưa nộp"))</f>
        <v/>
      </c>
    </row>
    <row r="257">
      <c r="A257" s="5" t="n">
        <v>253</v>
      </c>
      <c r="B257" s="5" t="inlineStr">
        <is>
          <t>Tuần 5</t>
        </is>
      </c>
      <c r="C257" s="5" t="inlineStr">
        <is>
          <t>Thứ 3</t>
        </is>
      </c>
      <c r="D257" s="5" t="inlineStr">
        <is>
          <t>06/10/2026</t>
        </is>
      </c>
      <c r="E257" s="5" t="inlineStr">
        <is>
          <t>Ngày 29</t>
        </is>
      </c>
      <c r="F257" s="6" t="inlineStr">
        <is>
          <t>Nancy</t>
        </is>
      </c>
      <c r="G257" s="18" t="inlineStr"/>
      <c r="H257" s="18" t="inlineStr"/>
      <c r="I257" s="18" t="inlineStr"/>
      <c r="J257" s="18" t="inlineStr"/>
      <c r="K257" s="18" t="inlineStr"/>
      <c r="L257" s="18" t="inlineStr"/>
      <c r="M257" s="18" t="inlineStr"/>
      <c r="N257" s="18" t="inlineStr"/>
      <c r="O257" s="7">
        <f>IF(OR(G257&lt;&gt;"",H257&lt;&gt;""),1,0) + IF(OR(I257&lt;&gt;"",J257&lt;&gt;""),1,0) + IF(OR(K257&lt;&gt;"",L257&lt;&gt;""),1,0) + IF(OR(M257&lt;&gt;"",N257&lt;&gt;""),1,0)</f>
        <v/>
      </c>
      <c r="P257" s="5">
        <f>IF(O257=4,"✅ Đủ 4 nhiệm vụ",IF(O257&gt;0,"⏳ Đạt "&amp;O257&amp;"/4","❌ Chưa nộp"))</f>
        <v/>
      </c>
    </row>
    <row r="258">
      <c r="A258" s="5" t="n">
        <v>254</v>
      </c>
      <c r="B258" s="5" t="inlineStr">
        <is>
          <t>Tuần 5</t>
        </is>
      </c>
      <c r="C258" s="5" t="inlineStr">
        <is>
          <t>Thứ 3</t>
        </is>
      </c>
      <c r="D258" s="5" t="inlineStr">
        <is>
          <t>06/10/2026</t>
        </is>
      </c>
      <c r="E258" s="5" t="inlineStr">
        <is>
          <t>Ngày 29</t>
        </is>
      </c>
      <c r="F258" s="6" t="inlineStr">
        <is>
          <t>Hoài Học Mãi</t>
        </is>
      </c>
      <c r="G258" s="18" t="inlineStr"/>
      <c r="H258" s="18" t="inlineStr"/>
      <c r="I258" s="18" t="inlineStr"/>
      <c r="J258" s="18" t="inlineStr"/>
      <c r="K258" s="18" t="inlineStr"/>
      <c r="L258" s="18" t="inlineStr"/>
      <c r="M258" s="18" t="inlineStr"/>
      <c r="N258" s="18" t="inlineStr"/>
      <c r="O258" s="7">
        <f>IF(OR(G258&lt;&gt;"",H258&lt;&gt;""),1,0) + IF(OR(I258&lt;&gt;"",J258&lt;&gt;""),1,0) + IF(OR(K258&lt;&gt;"",L258&lt;&gt;""),1,0) + IF(OR(M258&lt;&gt;"",N258&lt;&gt;""),1,0)</f>
        <v/>
      </c>
      <c r="P258" s="5">
        <f>IF(O258=4,"✅ Đủ 4 nhiệm vụ",IF(O258&gt;0,"⏳ Đạt "&amp;O258&amp;"/4","❌ Chưa nộp"))</f>
        <v/>
      </c>
    </row>
    <row r="259">
      <c r="A259" s="5" t="n">
        <v>255</v>
      </c>
      <c r="B259" s="5" t="inlineStr">
        <is>
          <t>Tuần 5</t>
        </is>
      </c>
      <c r="C259" s="5" t="inlineStr">
        <is>
          <t>Thứ 3</t>
        </is>
      </c>
      <c r="D259" s="5" t="inlineStr">
        <is>
          <t>06/10/2026</t>
        </is>
      </c>
      <c r="E259" s="5" t="inlineStr">
        <is>
          <t>Ngày 29</t>
        </is>
      </c>
      <c r="F259" s="6" t="inlineStr">
        <is>
          <t>Lambee</t>
        </is>
      </c>
      <c r="G259" s="18" t="inlineStr"/>
      <c r="H259" s="18" t="inlineStr"/>
      <c r="I259" s="18" t="inlineStr"/>
      <c r="J259" s="18" t="inlineStr"/>
      <c r="K259" s="18" t="inlineStr"/>
      <c r="L259" s="18" t="inlineStr"/>
      <c r="M259" s="18" t="inlineStr"/>
      <c r="N259" s="18" t="inlineStr"/>
      <c r="O259" s="7">
        <f>IF(OR(G259&lt;&gt;"",H259&lt;&gt;""),1,0) + IF(OR(I259&lt;&gt;"",J259&lt;&gt;""),1,0) + IF(OR(K259&lt;&gt;"",L259&lt;&gt;""),1,0) + IF(OR(M259&lt;&gt;"",N259&lt;&gt;""),1,0)</f>
        <v/>
      </c>
      <c r="P259" s="5">
        <f>IF(O259=4,"✅ Đủ 4 nhiệm vụ",IF(O259&gt;0,"⏳ Đạt "&amp;O259&amp;"/4","❌ Chưa nộp"))</f>
        <v/>
      </c>
    </row>
    <row r="260">
      <c r="A260" s="5" t="n">
        <v>256</v>
      </c>
      <c r="B260" s="5" t="inlineStr">
        <is>
          <t>Tuần 5</t>
        </is>
      </c>
      <c r="C260" s="5" t="inlineStr">
        <is>
          <t>Thứ 3</t>
        </is>
      </c>
      <c r="D260" s="5" t="inlineStr">
        <is>
          <t>06/10/2026</t>
        </is>
      </c>
      <c r="E260" s="5" t="inlineStr">
        <is>
          <t>Ngày 29</t>
        </is>
      </c>
      <c r="F260" s="6" t="inlineStr">
        <is>
          <t>Nhung Hoàng</t>
        </is>
      </c>
      <c r="G260" s="18" t="inlineStr"/>
      <c r="H260" s="18" t="inlineStr"/>
      <c r="I260" s="18" t="inlineStr"/>
      <c r="J260" s="18" t="inlineStr"/>
      <c r="K260" s="18" t="inlineStr"/>
      <c r="L260" s="18" t="inlineStr"/>
      <c r="M260" s="18" t="inlineStr"/>
      <c r="N260" s="18" t="inlineStr"/>
      <c r="O260" s="7">
        <f>IF(OR(G260&lt;&gt;"",H260&lt;&gt;""),1,0) + IF(OR(I260&lt;&gt;"",J260&lt;&gt;""),1,0) + IF(OR(K260&lt;&gt;"",L260&lt;&gt;""),1,0) + IF(OR(M260&lt;&gt;"",N260&lt;&gt;""),1,0)</f>
        <v/>
      </c>
      <c r="P260" s="5">
        <f>IF(O260=4,"✅ Đủ 4 nhiệm vụ",IF(O260&gt;0,"⏳ Đạt "&amp;O260&amp;"/4","❌ Chưa nộp"))</f>
        <v/>
      </c>
    </row>
    <row r="261">
      <c r="A261" s="5" t="n">
        <v>257</v>
      </c>
      <c r="B261" s="5" t="inlineStr">
        <is>
          <t>Tuần 5</t>
        </is>
      </c>
      <c r="C261" s="5" t="inlineStr">
        <is>
          <t>Thứ 3</t>
        </is>
      </c>
      <c r="D261" s="5" t="inlineStr">
        <is>
          <t>06/10/2026</t>
        </is>
      </c>
      <c r="E261" s="5" t="inlineStr">
        <is>
          <t>Ngày 29</t>
        </is>
      </c>
      <c r="F261" s="6" t="inlineStr">
        <is>
          <t>Quỳnh Thu</t>
        </is>
      </c>
      <c r="G261" s="18" t="inlineStr"/>
      <c r="H261" s="18" t="inlineStr"/>
      <c r="I261" s="18" t="inlineStr"/>
      <c r="J261" s="18" t="inlineStr"/>
      <c r="K261" s="18" t="inlineStr"/>
      <c r="L261" s="18" t="inlineStr"/>
      <c r="M261" s="18" t="inlineStr"/>
      <c r="N261" s="18" t="inlineStr"/>
      <c r="O261" s="7">
        <f>IF(OR(G261&lt;&gt;"",H261&lt;&gt;""),1,0) + IF(OR(I261&lt;&gt;"",J261&lt;&gt;""),1,0) + IF(OR(K261&lt;&gt;"",L261&lt;&gt;""),1,0) + IF(OR(M261&lt;&gt;"",N261&lt;&gt;""),1,0)</f>
        <v/>
      </c>
      <c r="P261" s="5">
        <f>IF(O261=4,"✅ Đủ 4 nhiệm vụ",IF(O261&gt;0,"⏳ Đạt "&amp;O261&amp;"/4","❌ Chưa nộp"))</f>
        <v/>
      </c>
    </row>
    <row r="262">
      <c r="A262" s="5" t="n">
        <v>258</v>
      </c>
      <c r="B262" s="5" t="inlineStr">
        <is>
          <t>Tuần 5</t>
        </is>
      </c>
      <c r="C262" s="5" t="inlineStr">
        <is>
          <t>Thứ 3</t>
        </is>
      </c>
      <c r="D262" s="5" t="inlineStr">
        <is>
          <t>06/10/2026</t>
        </is>
      </c>
      <c r="E262" s="5" t="inlineStr">
        <is>
          <t>Ngày 29</t>
        </is>
      </c>
      <c r="F262" s="6" t="inlineStr">
        <is>
          <t>TanAnh Pham</t>
        </is>
      </c>
      <c r="G262" s="18" t="inlineStr"/>
      <c r="H262" s="18" t="inlineStr"/>
      <c r="I262" s="18" t="inlineStr"/>
      <c r="J262" s="18" t="inlineStr"/>
      <c r="K262" s="18" t="inlineStr"/>
      <c r="L262" s="18" t="inlineStr"/>
      <c r="M262" s="18" t="inlineStr"/>
      <c r="N262" s="18" t="inlineStr"/>
      <c r="O262" s="7">
        <f>IF(OR(G262&lt;&gt;"",H262&lt;&gt;""),1,0) + IF(OR(I262&lt;&gt;"",J262&lt;&gt;""),1,0) + IF(OR(K262&lt;&gt;"",L262&lt;&gt;""),1,0) + IF(OR(M262&lt;&gt;"",N262&lt;&gt;""),1,0)</f>
        <v/>
      </c>
      <c r="P262" s="5">
        <f>IF(O262=4,"✅ Đủ 4 nhiệm vụ",IF(O262&gt;0,"⏳ Đạt "&amp;O262&amp;"/4","❌ Chưa nộp"))</f>
        <v/>
      </c>
    </row>
    <row r="263">
      <c r="A263" s="5" t="n">
        <v>259</v>
      </c>
      <c r="B263" s="5" t="inlineStr">
        <is>
          <t>Tuần 5</t>
        </is>
      </c>
      <c r="C263" s="5" t="inlineStr">
        <is>
          <t>Thứ 3</t>
        </is>
      </c>
      <c r="D263" s="5" t="inlineStr">
        <is>
          <t>06/10/2026</t>
        </is>
      </c>
      <c r="E263" s="5" t="inlineStr">
        <is>
          <t>Ngày 29</t>
        </is>
      </c>
      <c r="F263" s="6" t="inlineStr">
        <is>
          <t>Thảo Collins Edu</t>
        </is>
      </c>
      <c r="G263" s="18" t="inlineStr"/>
      <c r="H263" s="18" t="inlineStr"/>
      <c r="I263" s="18" t="inlineStr"/>
      <c r="J263" s="18" t="inlineStr"/>
      <c r="K263" s="18" t="inlineStr"/>
      <c r="L263" s="18" t="inlineStr"/>
      <c r="M263" s="18" t="inlineStr"/>
      <c r="N263" s="18" t="inlineStr"/>
      <c r="O263" s="7">
        <f>IF(OR(G263&lt;&gt;"",H263&lt;&gt;""),1,0) + IF(OR(I263&lt;&gt;"",J263&lt;&gt;""),1,0) + IF(OR(K263&lt;&gt;"",L263&lt;&gt;""),1,0) + IF(OR(M263&lt;&gt;"",N263&lt;&gt;""),1,0)</f>
        <v/>
      </c>
      <c r="P263" s="5">
        <f>IF(O263=4,"✅ Đủ 4 nhiệm vụ",IF(O263&gt;0,"⏳ Đạt "&amp;O263&amp;"/4","❌ Chưa nộp"))</f>
        <v/>
      </c>
    </row>
    <row r="264">
      <c r="A264" s="5" t="n">
        <v>260</v>
      </c>
      <c r="B264" s="5" t="inlineStr">
        <is>
          <t>Tuần 5</t>
        </is>
      </c>
      <c r="C264" s="5" t="inlineStr">
        <is>
          <t>Thứ 3</t>
        </is>
      </c>
      <c r="D264" s="5" t="inlineStr">
        <is>
          <t>06/10/2026</t>
        </is>
      </c>
      <c r="E264" s="5" t="inlineStr">
        <is>
          <t>Ngày 29</t>
        </is>
      </c>
      <c r="F264" s="6" t="inlineStr">
        <is>
          <t>Trần Quế Lam</t>
        </is>
      </c>
      <c r="G264" s="18" t="inlineStr"/>
      <c r="H264" s="18" t="inlineStr"/>
      <c r="I264" s="18" t="inlineStr"/>
      <c r="J264" s="18" t="inlineStr"/>
      <c r="K264" s="18" t="inlineStr"/>
      <c r="L264" s="18" t="inlineStr"/>
      <c r="M264" s="18" t="inlineStr"/>
      <c r="N264" s="18" t="inlineStr"/>
      <c r="O264" s="7">
        <f>IF(OR(G264&lt;&gt;"",H264&lt;&gt;""),1,0) + IF(OR(I264&lt;&gt;"",J264&lt;&gt;""),1,0) + IF(OR(K264&lt;&gt;"",L264&lt;&gt;""),1,0) + IF(OR(M264&lt;&gt;"",N264&lt;&gt;""),1,0)</f>
        <v/>
      </c>
      <c r="P264" s="5">
        <f>IF(O264=4,"✅ Đủ 4 nhiệm vụ",IF(O264&gt;0,"⏳ Đạt "&amp;O264&amp;"/4","❌ Chưa nộp"))</f>
        <v/>
      </c>
    </row>
    <row r="265">
      <c r="A265" s="5" t="n">
        <v>261</v>
      </c>
      <c r="B265" s="5" t="inlineStr">
        <is>
          <t>Tuần 5</t>
        </is>
      </c>
      <c r="C265" s="5" t="inlineStr">
        <is>
          <t>Thứ 3</t>
        </is>
      </c>
      <c r="D265" s="5" t="inlineStr">
        <is>
          <t>06/10/2026</t>
        </is>
      </c>
      <c r="E265" s="5" t="inlineStr">
        <is>
          <t>Ngày 29</t>
        </is>
      </c>
      <c r="F265" s="6" t="inlineStr">
        <is>
          <t>Phạm Huyền</t>
        </is>
      </c>
      <c r="G265" s="18" t="inlineStr"/>
      <c r="H265" s="18" t="inlineStr"/>
      <c r="I265" s="18" t="inlineStr"/>
      <c r="J265" s="18" t="inlineStr"/>
      <c r="K265" s="18" t="inlineStr"/>
      <c r="L265" s="18" t="inlineStr"/>
      <c r="M265" s="18" t="inlineStr"/>
      <c r="N265" s="18" t="inlineStr"/>
      <c r="O265" s="7">
        <f>IF(OR(G265&lt;&gt;"",H265&lt;&gt;""),1,0) + IF(OR(I265&lt;&gt;"",J265&lt;&gt;""),1,0) + IF(OR(K265&lt;&gt;"",L265&lt;&gt;""),1,0) + IF(OR(M265&lt;&gt;"",N265&lt;&gt;""),1,0)</f>
        <v/>
      </c>
      <c r="P265" s="5">
        <f>IF(O265=4,"✅ Đủ 4 nhiệm vụ",IF(O265&gt;0,"⏳ Đạt "&amp;O265&amp;"/4","❌ Chưa nộp"))</f>
        <v/>
      </c>
    </row>
    <row r="266">
      <c r="A266" s="9" t="n">
        <v>262</v>
      </c>
      <c r="B266" s="9" t="inlineStr">
        <is>
          <t>Tuần 5</t>
        </is>
      </c>
      <c r="C266" s="9" t="inlineStr">
        <is>
          <t>Thứ 4</t>
        </is>
      </c>
      <c r="D266" s="9" t="inlineStr">
        <is>
          <t>07/10/2026</t>
        </is>
      </c>
      <c r="E266" s="9" t="inlineStr">
        <is>
          <t>Ngày 30</t>
        </is>
      </c>
      <c r="F266" s="10" t="inlineStr">
        <is>
          <t>Nancy</t>
        </is>
      </c>
      <c r="G266" s="19" t="inlineStr"/>
      <c r="H266" s="19" t="inlineStr"/>
      <c r="I266" s="19" t="inlineStr"/>
      <c r="J266" s="19" t="inlineStr"/>
      <c r="K266" s="19" t="inlineStr"/>
      <c r="L266" s="19" t="inlineStr"/>
      <c r="M266" s="19" t="inlineStr"/>
      <c r="N266" s="19" t="inlineStr"/>
      <c r="O266" s="11">
        <f>IF(OR(G266&lt;&gt;"",H266&lt;&gt;""),1,0) + IF(OR(I266&lt;&gt;"",J266&lt;&gt;""),1,0) + IF(OR(K266&lt;&gt;"",L266&lt;&gt;""),1,0) + IF(OR(M266&lt;&gt;"",N266&lt;&gt;""),1,0)</f>
        <v/>
      </c>
      <c r="P266" s="9">
        <f>IF(O266=4,"✅ Đủ 4 nhiệm vụ",IF(O266&gt;0,"⏳ Đạt "&amp;O266&amp;"/4","❌ Chưa nộp"))</f>
        <v/>
      </c>
    </row>
    <row r="267">
      <c r="A267" s="9" t="n">
        <v>263</v>
      </c>
      <c r="B267" s="9" t="inlineStr">
        <is>
          <t>Tuần 5</t>
        </is>
      </c>
      <c r="C267" s="9" t="inlineStr">
        <is>
          <t>Thứ 4</t>
        </is>
      </c>
      <c r="D267" s="9" t="inlineStr">
        <is>
          <t>07/10/2026</t>
        </is>
      </c>
      <c r="E267" s="9" t="inlineStr">
        <is>
          <t>Ngày 30</t>
        </is>
      </c>
      <c r="F267" s="10" t="inlineStr">
        <is>
          <t>Hoài Học Mãi</t>
        </is>
      </c>
      <c r="G267" s="19" t="inlineStr"/>
      <c r="H267" s="19" t="inlineStr"/>
      <c r="I267" s="19" t="inlineStr"/>
      <c r="J267" s="19" t="inlineStr"/>
      <c r="K267" s="19" t="inlineStr"/>
      <c r="L267" s="19" t="inlineStr"/>
      <c r="M267" s="19" t="inlineStr"/>
      <c r="N267" s="19" t="inlineStr"/>
      <c r="O267" s="11">
        <f>IF(OR(G267&lt;&gt;"",H267&lt;&gt;""),1,0) + IF(OR(I267&lt;&gt;"",J267&lt;&gt;""),1,0) + IF(OR(K267&lt;&gt;"",L267&lt;&gt;""),1,0) + IF(OR(M267&lt;&gt;"",N267&lt;&gt;""),1,0)</f>
        <v/>
      </c>
      <c r="P267" s="9">
        <f>IF(O267=4,"✅ Đủ 4 nhiệm vụ",IF(O267&gt;0,"⏳ Đạt "&amp;O267&amp;"/4","❌ Chưa nộp"))</f>
        <v/>
      </c>
    </row>
    <row r="268">
      <c r="A268" s="9" t="n">
        <v>264</v>
      </c>
      <c r="B268" s="9" t="inlineStr">
        <is>
          <t>Tuần 5</t>
        </is>
      </c>
      <c r="C268" s="9" t="inlineStr">
        <is>
          <t>Thứ 4</t>
        </is>
      </c>
      <c r="D268" s="9" t="inlineStr">
        <is>
          <t>07/10/2026</t>
        </is>
      </c>
      <c r="E268" s="9" t="inlineStr">
        <is>
          <t>Ngày 30</t>
        </is>
      </c>
      <c r="F268" s="10" t="inlineStr">
        <is>
          <t>Lambee</t>
        </is>
      </c>
      <c r="G268" s="19" t="inlineStr"/>
      <c r="H268" s="19" t="inlineStr"/>
      <c r="I268" s="19" t="inlineStr"/>
      <c r="J268" s="19" t="inlineStr"/>
      <c r="K268" s="19" t="inlineStr"/>
      <c r="L268" s="19" t="inlineStr"/>
      <c r="M268" s="19" t="inlineStr"/>
      <c r="N268" s="19" t="inlineStr"/>
      <c r="O268" s="11">
        <f>IF(OR(G268&lt;&gt;"",H268&lt;&gt;""),1,0) + IF(OR(I268&lt;&gt;"",J268&lt;&gt;""),1,0) + IF(OR(K268&lt;&gt;"",L268&lt;&gt;""),1,0) + IF(OR(M268&lt;&gt;"",N268&lt;&gt;""),1,0)</f>
        <v/>
      </c>
      <c r="P268" s="9">
        <f>IF(O268=4,"✅ Đủ 4 nhiệm vụ",IF(O268&gt;0,"⏳ Đạt "&amp;O268&amp;"/4","❌ Chưa nộp"))</f>
        <v/>
      </c>
    </row>
    <row r="269">
      <c r="A269" s="9" t="n">
        <v>265</v>
      </c>
      <c r="B269" s="9" t="inlineStr">
        <is>
          <t>Tuần 5</t>
        </is>
      </c>
      <c r="C269" s="9" t="inlineStr">
        <is>
          <t>Thứ 4</t>
        </is>
      </c>
      <c r="D269" s="9" t="inlineStr">
        <is>
          <t>07/10/2026</t>
        </is>
      </c>
      <c r="E269" s="9" t="inlineStr">
        <is>
          <t>Ngày 30</t>
        </is>
      </c>
      <c r="F269" s="10" t="inlineStr">
        <is>
          <t>Nhung Hoàng</t>
        </is>
      </c>
      <c r="G269" s="19" t="inlineStr"/>
      <c r="H269" s="19" t="inlineStr"/>
      <c r="I269" s="19" t="inlineStr"/>
      <c r="J269" s="19" t="inlineStr"/>
      <c r="K269" s="19" t="inlineStr"/>
      <c r="L269" s="19" t="inlineStr"/>
      <c r="M269" s="19" t="inlineStr"/>
      <c r="N269" s="19" t="inlineStr"/>
      <c r="O269" s="11">
        <f>IF(OR(G269&lt;&gt;"",H269&lt;&gt;""),1,0) + IF(OR(I269&lt;&gt;"",J269&lt;&gt;""),1,0) + IF(OR(K269&lt;&gt;"",L269&lt;&gt;""),1,0) + IF(OR(M269&lt;&gt;"",N269&lt;&gt;""),1,0)</f>
        <v/>
      </c>
      <c r="P269" s="9">
        <f>IF(O269=4,"✅ Đủ 4 nhiệm vụ",IF(O269&gt;0,"⏳ Đạt "&amp;O269&amp;"/4","❌ Chưa nộp"))</f>
        <v/>
      </c>
    </row>
    <row r="270">
      <c r="A270" s="9" t="n">
        <v>266</v>
      </c>
      <c r="B270" s="9" t="inlineStr">
        <is>
          <t>Tuần 5</t>
        </is>
      </c>
      <c r="C270" s="9" t="inlineStr">
        <is>
          <t>Thứ 4</t>
        </is>
      </c>
      <c r="D270" s="9" t="inlineStr">
        <is>
          <t>07/10/2026</t>
        </is>
      </c>
      <c r="E270" s="9" t="inlineStr">
        <is>
          <t>Ngày 30</t>
        </is>
      </c>
      <c r="F270" s="10" t="inlineStr">
        <is>
          <t>Quỳnh Thu</t>
        </is>
      </c>
      <c r="G270" s="19" t="inlineStr"/>
      <c r="H270" s="19" t="inlineStr"/>
      <c r="I270" s="19" t="inlineStr"/>
      <c r="J270" s="19" t="inlineStr"/>
      <c r="K270" s="19" t="inlineStr"/>
      <c r="L270" s="19" t="inlineStr"/>
      <c r="M270" s="19" t="inlineStr"/>
      <c r="N270" s="19" t="inlineStr"/>
      <c r="O270" s="11">
        <f>IF(OR(G270&lt;&gt;"",H270&lt;&gt;""),1,0) + IF(OR(I270&lt;&gt;"",J270&lt;&gt;""),1,0) + IF(OR(K270&lt;&gt;"",L270&lt;&gt;""),1,0) + IF(OR(M270&lt;&gt;"",N270&lt;&gt;""),1,0)</f>
        <v/>
      </c>
      <c r="P270" s="9">
        <f>IF(O270=4,"✅ Đủ 4 nhiệm vụ",IF(O270&gt;0,"⏳ Đạt "&amp;O270&amp;"/4","❌ Chưa nộp"))</f>
        <v/>
      </c>
    </row>
    <row r="271">
      <c r="A271" s="9" t="n">
        <v>267</v>
      </c>
      <c r="B271" s="9" t="inlineStr">
        <is>
          <t>Tuần 5</t>
        </is>
      </c>
      <c r="C271" s="9" t="inlineStr">
        <is>
          <t>Thứ 4</t>
        </is>
      </c>
      <c r="D271" s="9" t="inlineStr">
        <is>
          <t>07/10/2026</t>
        </is>
      </c>
      <c r="E271" s="9" t="inlineStr">
        <is>
          <t>Ngày 30</t>
        </is>
      </c>
      <c r="F271" s="10" t="inlineStr">
        <is>
          <t>TanAnh Pham</t>
        </is>
      </c>
      <c r="G271" s="19" t="inlineStr"/>
      <c r="H271" s="19" t="inlineStr"/>
      <c r="I271" s="19" t="inlineStr"/>
      <c r="J271" s="19" t="inlineStr"/>
      <c r="K271" s="19" t="inlineStr"/>
      <c r="L271" s="19" t="inlineStr"/>
      <c r="M271" s="19" t="inlineStr"/>
      <c r="N271" s="19" t="inlineStr"/>
      <c r="O271" s="11">
        <f>IF(OR(G271&lt;&gt;"",H271&lt;&gt;""),1,0) + IF(OR(I271&lt;&gt;"",J271&lt;&gt;""),1,0) + IF(OR(K271&lt;&gt;"",L271&lt;&gt;""),1,0) + IF(OR(M271&lt;&gt;"",N271&lt;&gt;""),1,0)</f>
        <v/>
      </c>
      <c r="P271" s="9">
        <f>IF(O271=4,"✅ Đủ 4 nhiệm vụ",IF(O271&gt;0,"⏳ Đạt "&amp;O271&amp;"/4","❌ Chưa nộp"))</f>
        <v/>
      </c>
    </row>
    <row r="272">
      <c r="A272" s="9" t="n">
        <v>268</v>
      </c>
      <c r="B272" s="9" t="inlineStr">
        <is>
          <t>Tuần 5</t>
        </is>
      </c>
      <c r="C272" s="9" t="inlineStr">
        <is>
          <t>Thứ 4</t>
        </is>
      </c>
      <c r="D272" s="9" t="inlineStr">
        <is>
          <t>07/10/2026</t>
        </is>
      </c>
      <c r="E272" s="9" t="inlineStr">
        <is>
          <t>Ngày 30</t>
        </is>
      </c>
      <c r="F272" s="10" t="inlineStr">
        <is>
          <t>Thảo Collins Edu</t>
        </is>
      </c>
      <c r="G272" s="19" t="inlineStr"/>
      <c r="H272" s="19" t="inlineStr"/>
      <c r="I272" s="19" t="inlineStr"/>
      <c r="J272" s="19" t="inlineStr"/>
      <c r="K272" s="19" t="inlineStr"/>
      <c r="L272" s="19" t="inlineStr"/>
      <c r="M272" s="19" t="inlineStr"/>
      <c r="N272" s="19" t="inlineStr"/>
      <c r="O272" s="11">
        <f>IF(OR(G272&lt;&gt;"",H272&lt;&gt;""),1,0) + IF(OR(I272&lt;&gt;"",J272&lt;&gt;""),1,0) + IF(OR(K272&lt;&gt;"",L272&lt;&gt;""),1,0) + IF(OR(M272&lt;&gt;"",N272&lt;&gt;""),1,0)</f>
        <v/>
      </c>
      <c r="P272" s="9">
        <f>IF(O272=4,"✅ Đủ 4 nhiệm vụ",IF(O272&gt;0,"⏳ Đạt "&amp;O272&amp;"/4","❌ Chưa nộp"))</f>
        <v/>
      </c>
    </row>
    <row r="273">
      <c r="A273" s="9" t="n">
        <v>269</v>
      </c>
      <c r="B273" s="9" t="inlineStr">
        <is>
          <t>Tuần 5</t>
        </is>
      </c>
      <c r="C273" s="9" t="inlineStr">
        <is>
          <t>Thứ 4</t>
        </is>
      </c>
      <c r="D273" s="9" t="inlineStr">
        <is>
          <t>07/10/2026</t>
        </is>
      </c>
      <c r="E273" s="9" t="inlineStr">
        <is>
          <t>Ngày 30</t>
        </is>
      </c>
      <c r="F273" s="10" t="inlineStr">
        <is>
          <t>Trần Quế Lam</t>
        </is>
      </c>
      <c r="G273" s="19" t="inlineStr"/>
      <c r="H273" s="19" t="inlineStr"/>
      <c r="I273" s="19" t="inlineStr"/>
      <c r="J273" s="19" t="inlineStr"/>
      <c r="K273" s="19" t="inlineStr"/>
      <c r="L273" s="19" t="inlineStr"/>
      <c r="M273" s="19" t="inlineStr"/>
      <c r="N273" s="19" t="inlineStr"/>
      <c r="O273" s="11">
        <f>IF(OR(G273&lt;&gt;"",H273&lt;&gt;""),1,0) + IF(OR(I273&lt;&gt;"",J273&lt;&gt;""),1,0) + IF(OR(K273&lt;&gt;"",L273&lt;&gt;""),1,0) + IF(OR(M273&lt;&gt;"",N273&lt;&gt;""),1,0)</f>
        <v/>
      </c>
      <c r="P273" s="9">
        <f>IF(O273=4,"✅ Đủ 4 nhiệm vụ",IF(O273&gt;0,"⏳ Đạt "&amp;O273&amp;"/4","❌ Chưa nộp"))</f>
        <v/>
      </c>
    </row>
    <row r="274">
      <c r="A274" s="9" t="n">
        <v>270</v>
      </c>
      <c r="B274" s="9" t="inlineStr">
        <is>
          <t>Tuần 5</t>
        </is>
      </c>
      <c r="C274" s="9" t="inlineStr">
        <is>
          <t>Thứ 4</t>
        </is>
      </c>
      <c r="D274" s="9" t="inlineStr">
        <is>
          <t>07/10/2026</t>
        </is>
      </c>
      <c r="E274" s="9" t="inlineStr">
        <is>
          <t>Ngày 30</t>
        </is>
      </c>
      <c r="F274" s="10" t="inlineStr">
        <is>
          <t>Phạm Huyền</t>
        </is>
      </c>
      <c r="G274" s="19" t="inlineStr"/>
      <c r="H274" s="19" t="inlineStr"/>
      <c r="I274" s="19" t="inlineStr"/>
      <c r="J274" s="19" t="inlineStr"/>
      <c r="K274" s="19" t="inlineStr"/>
      <c r="L274" s="19" t="inlineStr"/>
      <c r="M274" s="19" t="inlineStr"/>
      <c r="N274" s="19" t="inlineStr"/>
      <c r="O274" s="11">
        <f>IF(OR(G274&lt;&gt;"",H274&lt;&gt;""),1,0) + IF(OR(I274&lt;&gt;"",J274&lt;&gt;""),1,0) + IF(OR(K274&lt;&gt;"",L274&lt;&gt;""),1,0) + IF(OR(M274&lt;&gt;"",N274&lt;&gt;""),1,0)</f>
        <v/>
      </c>
      <c r="P274" s="9">
        <f>IF(O274=4,"✅ Đủ 4 nhiệm vụ",IF(O274&gt;0,"⏳ Đạt "&amp;O274&amp;"/4","❌ Chưa nộp"))</f>
        <v/>
      </c>
    </row>
    <row r="275">
      <c r="A275" s="5" t="n">
        <v>271</v>
      </c>
      <c r="B275" s="5" t="inlineStr">
        <is>
          <t>Tuần 5</t>
        </is>
      </c>
      <c r="C275" s="5" t="inlineStr">
        <is>
          <t>Thứ 5</t>
        </is>
      </c>
      <c r="D275" s="5" t="inlineStr">
        <is>
          <t>08/10/2026</t>
        </is>
      </c>
      <c r="E275" s="5" t="inlineStr">
        <is>
          <t>Ngày 31</t>
        </is>
      </c>
      <c r="F275" s="6" t="inlineStr">
        <is>
          <t>Nancy</t>
        </is>
      </c>
      <c r="G275" s="18" t="inlineStr"/>
      <c r="H275" s="18" t="inlineStr"/>
      <c r="I275" s="18" t="inlineStr"/>
      <c r="J275" s="18" t="inlineStr"/>
      <c r="K275" s="18" t="inlineStr"/>
      <c r="L275" s="18" t="inlineStr"/>
      <c r="M275" s="18" t="inlineStr"/>
      <c r="N275" s="18" t="inlineStr"/>
      <c r="O275" s="7">
        <f>IF(OR(G275&lt;&gt;"",H275&lt;&gt;""),1,0) + IF(OR(I275&lt;&gt;"",J275&lt;&gt;""),1,0) + IF(OR(K275&lt;&gt;"",L275&lt;&gt;""),1,0) + IF(OR(M275&lt;&gt;"",N275&lt;&gt;""),1,0)</f>
        <v/>
      </c>
      <c r="P275" s="5">
        <f>IF(O275=4,"✅ Đủ 4 nhiệm vụ",IF(O275&gt;0,"⏳ Đạt "&amp;O275&amp;"/4","❌ Chưa nộp"))</f>
        <v/>
      </c>
    </row>
    <row r="276">
      <c r="A276" s="5" t="n">
        <v>272</v>
      </c>
      <c r="B276" s="5" t="inlineStr">
        <is>
          <t>Tuần 5</t>
        </is>
      </c>
      <c r="C276" s="5" t="inlineStr">
        <is>
          <t>Thứ 5</t>
        </is>
      </c>
      <c r="D276" s="5" t="inlineStr">
        <is>
          <t>08/10/2026</t>
        </is>
      </c>
      <c r="E276" s="5" t="inlineStr">
        <is>
          <t>Ngày 31</t>
        </is>
      </c>
      <c r="F276" s="6" t="inlineStr">
        <is>
          <t>Hoài Học Mãi</t>
        </is>
      </c>
      <c r="G276" s="18" t="inlineStr"/>
      <c r="H276" s="18" t="inlineStr"/>
      <c r="I276" s="18" t="inlineStr"/>
      <c r="J276" s="18" t="inlineStr"/>
      <c r="K276" s="18" t="inlineStr"/>
      <c r="L276" s="18" t="inlineStr"/>
      <c r="M276" s="18" t="inlineStr"/>
      <c r="N276" s="18" t="inlineStr"/>
      <c r="O276" s="7">
        <f>IF(OR(G276&lt;&gt;"",H276&lt;&gt;""),1,0) + IF(OR(I276&lt;&gt;"",J276&lt;&gt;""),1,0) + IF(OR(K276&lt;&gt;"",L276&lt;&gt;""),1,0) + IF(OR(M276&lt;&gt;"",N276&lt;&gt;""),1,0)</f>
        <v/>
      </c>
      <c r="P276" s="5">
        <f>IF(O276=4,"✅ Đủ 4 nhiệm vụ",IF(O276&gt;0,"⏳ Đạt "&amp;O276&amp;"/4","❌ Chưa nộp"))</f>
        <v/>
      </c>
    </row>
    <row r="277">
      <c r="A277" s="5" t="n">
        <v>273</v>
      </c>
      <c r="B277" s="5" t="inlineStr">
        <is>
          <t>Tuần 5</t>
        </is>
      </c>
      <c r="C277" s="5" t="inlineStr">
        <is>
          <t>Thứ 5</t>
        </is>
      </c>
      <c r="D277" s="5" t="inlineStr">
        <is>
          <t>08/10/2026</t>
        </is>
      </c>
      <c r="E277" s="5" t="inlineStr">
        <is>
          <t>Ngày 31</t>
        </is>
      </c>
      <c r="F277" s="6" t="inlineStr">
        <is>
          <t>Lambee</t>
        </is>
      </c>
      <c r="G277" s="18" t="inlineStr"/>
      <c r="H277" s="18" t="inlineStr"/>
      <c r="I277" s="18" t="inlineStr"/>
      <c r="J277" s="18" t="inlineStr"/>
      <c r="K277" s="18" t="inlineStr"/>
      <c r="L277" s="18" t="inlineStr"/>
      <c r="M277" s="18" t="inlineStr"/>
      <c r="N277" s="18" t="inlineStr"/>
      <c r="O277" s="7">
        <f>IF(OR(G277&lt;&gt;"",H277&lt;&gt;""),1,0) + IF(OR(I277&lt;&gt;"",J277&lt;&gt;""),1,0) + IF(OR(K277&lt;&gt;"",L277&lt;&gt;""),1,0) + IF(OR(M277&lt;&gt;"",N277&lt;&gt;""),1,0)</f>
        <v/>
      </c>
      <c r="P277" s="5">
        <f>IF(O277=4,"✅ Đủ 4 nhiệm vụ",IF(O277&gt;0,"⏳ Đạt "&amp;O277&amp;"/4","❌ Chưa nộp"))</f>
        <v/>
      </c>
    </row>
    <row r="278">
      <c r="A278" s="5" t="n">
        <v>274</v>
      </c>
      <c r="B278" s="5" t="inlineStr">
        <is>
          <t>Tuần 5</t>
        </is>
      </c>
      <c r="C278" s="5" t="inlineStr">
        <is>
          <t>Thứ 5</t>
        </is>
      </c>
      <c r="D278" s="5" t="inlineStr">
        <is>
          <t>08/10/2026</t>
        </is>
      </c>
      <c r="E278" s="5" t="inlineStr">
        <is>
          <t>Ngày 31</t>
        </is>
      </c>
      <c r="F278" s="6" t="inlineStr">
        <is>
          <t>Nhung Hoàng</t>
        </is>
      </c>
      <c r="G278" s="18" t="inlineStr"/>
      <c r="H278" s="18" t="inlineStr"/>
      <c r="I278" s="18" t="inlineStr"/>
      <c r="J278" s="18" t="inlineStr"/>
      <c r="K278" s="18" t="inlineStr"/>
      <c r="L278" s="18" t="inlineStr"/>
      <c r="M278" s="18" t="inlineStr"/>
      <c r="N278" s="18" t="inlineStr"/>
      <c r="O278" s="7">
        <f>IF(OR(G278&lt;&gt;"",H278&lt;&gt;""),1,0) + IF(OR(I278&lt;&gt;"",J278&lt;&gt;""),1,0) + IF(OR(K278&lt;&gt;"",L278&lt;&gt;""),1,0) + IF(OR(M278&lt;&gt;"",N278&lt;&gt;""),1,0)</f>
        <v/>
      </c>
      <c r="P278" s="5">
        <f>IF(O278=4,"✅ Đủ 4 nhiệm vụ",IF(O278&gt;0,"⏳ Đạt "&amp;O278&amp;"/4","❌ Chưa nộp"))</f>
        <v/>
      </c>
    </row>
    <row r="279">
      <c r="A279" s="5" t="n">
        <v>275</v>
      </c>
      <c r="B279" s="5" t="inlineStr">
        <is>
          <t>Tuần 5</t>
        </is>
      </c>
      <c r="C279" s="5" t="inlineStr">
        <is>
          <t>Thứ 5</t>
        </is>
      </c>
      <c r="D279" s="5" t="inlineStr">
        <is>
          <t>08/10/2026</t>
        </is>
      </c>
      <c r="E279" s="5" t="inlineStr">
        <is>
          <t>Ngày 31</t>
        </is>
      </c>
      <c r="F279" s="6" t="inlineStr">
        <is>
          <t>Quỳnh Thu</t>
        </is>
      </c>
      <c r="G279" s="18" t="inlineStr"/>
      <c r="H279" s="18" t="inlineStr"/>
      <c r="I279" s="18" t="inlineStr"/>
      <c r="J279" s="18" t="inlineStr"/>
      <c r="K279" s="18" t="inlineStr"/>
      <c r="L279" s="18" t="inlineStr"/>
      <c r="M279" s="18" t="inlineStr"/>
      <c r="N279" s="18" t="inlineStr"/>
      <c r="O279" s="7">
        <f>IF(OR(G279&lt;&gt;"",H279&lt;&gt;""),1,0) + IF(OR(I279&lt;&gt;"",J279&lt;&gt;""),1,0) + IF(OR(K279&lt;&gt;"",L279&lt;&gt;""),1,0) + IF(OR(M279&lt;&gt;"",N279&lt;&gt;""),1,0)</f>
        <v/>
      </c>
      <c r="P279" s="5">
        <f>IF(O279=4,"✅ Đủ 4 nhiệm vụ",IF(O279&gt;0,"⏳ Đạt "&amp;O279&amp;"/4","❌ Chưa nộp"))</f>
        <v/>
      </c>
    </row>
    <row r="280">
      <c r="A280" s="5" t="n">
        <v>276</v>
      </c>
      <c r="B280" s="5" t="inlineStr">
        <is>
          <t>Tuần 5</t>
        </is>
      </c>
      <c r="C280" s="5" t="inlineStr">
        <is>
          <t>Thứ 5</t>
        </is>
      </c>
      <c r="D280" s="5" t="inlineStr">
        <is>
          <t>08/10/2026</t>
        </is>
      </c>
      <c r="E280" s="5" t="inlineStr">
        <is>
          <t>Ngày 31</t>
        </is>
      </c>
      <c r="F280" s="6" t="inlineStr">
        <is>
          <t>TanAnh Pham</t>
        </is>
      </c>
      <c r="G280" s="18" t="inlineStr"/>
      <c r="H280" s="18" t="inlineStr"/>
      <c r="I280" s="18" t="inlineStr"/>
      <c r="J280" s="18" t="inlineStr"/>
      <c r="K280" s="18" t="inlineStr"/>
      <c r="L280" s="18" t="inlineStr"/>
      <c r="M280" s="18" t="inlineStr"/>
      <c r="N280" s="18" t="inlineStr"/>
      <c r="O280" s="7">
        <f>IF(OR(G280&lt;&gt;"",H280&lt;&gt;""),1,0) + IF(OR(I280&lt;&gt;"",J280&lt;&gt;""),1,0) + IF(OR(K280&lt;&gt;"",L280&lt;&gt;""),1,0) + IF(OR(M280&lt;&gt;"",N280&lt;&gt;""),1,0)</f>
        <v/>
      </c>
      <c r="P280" s="5">
        <f>IF(O280=4,"✅ Đủ 4 nhiệm vụ",IF(O280&gt;0,"⏳ Đạt "&amp;O280&amp;"/4","❌ Chưa nộp"))</f>
        <v/>
      </c>
    </row>
    <row r="281">
      <c r="A281" s="5" t="n">
        <v>277</v>
      </c>
      <c r="B281" s="5" t="inlineStr">
        <is>
          <t>Tuần 5</t>
        </is>
      </c>
      <c r="C281" s="5" t="inlineStr">
        <is>
          <t>Thứ 5</t>
        </is>
      </c>
      <c r="D281" s="5" t="inlineStr">
        <is>
          <t>08/10/2026</t>
        </is>
      </c>
      <c r="E281" s="5" t="inlineStr">
        <is>
          <t>Ngày 31</t>
        </is>
      </c>
      <c r="F281" s="6" t="inlineStr">
        <is>
          <t>Thảo Collins Edu</t>
        </is>
      </c>
      <c r="G281" s="18" t="inlineStr"/>
      <c r="H281" s="18" t="inlineStr"/>
      <c r="I281" s="18" t="inlineStr"/>
      <c r="J281" s="18" t="inlineStr"/>
      <c r="K281" s="18" t="inlineStr"/>
      <c r="L281" s="18" t="inlineStr"/>
      <c r="M281" s="18" t="inlineStr"/>
      <c r="N281" s="18" t="inlineStr"/>
      <c r="O281" s="7">
        <f>IF(OR(G281&lt;&gt;"",H281&lt;&gt;""),1,0) + IF(OR(I281&lt;&gt;"",J281&lt;&gt;""),1,0) + IF(OR(K281&lt;&gt;"",L281&lt;&gt;""),1,0) + IF(OR(M281&lt;&gt;"",N281&lt;&gt;""),1,0)</f>
        <v/>
      </c>
      <c r="P281" s="5">
        <f>IF(O281=4,"✅ Đủ 4 nhiệm vụ",IF(O281&gt;0,"⏳ Đạt "&amp;O281&amp;"/4","❌ Chưa nộp"))</f>
        <v/>
      </c>
    </row>
    <row r="282">
      <c r="A282" s="5" t="n">
        <v>278</v>
      </c>
      <c r="B282" s="5" t="inlineStr">
        <is>
          <t>Tuần 5</t>
        </is>
      </c>
      <c r="C282" s="5" t="inlineStr">
        <is>
          <t>Thứ 5</t>
        </is>
      </c>
      <c r="D282" s="5" t="inlineStr">
        <is>
          <t>08/10/2026</t>
        </is>
      </c>
      <c r="E282" s="5" t="inlineStr">
        <is>
          <t>Ngày 31</t>
        </is>
      </c>
      <c r="F282" s="6" t="inlineStr">
        <is>
          <t>Trần Quế Lam</t>
        </is>
      </c>
      <c r="G282" s="18" t="inlineStr"/>
      <c r="H282" s="18" t="inlineStr"/>
      <c r="I282" s="18" t="inlineStr"/>
      <c r="J282" s="18" t="inlineStr"/>
      <c r="K282" s="18" t="inlineStr"/>
      <c r="L282" s="18" t="inlineStr"/>
      <c r="M282" s="18" t="inlineStr"/>
      <c r="N282" s="18" t="inlineStr"/>
      <c r="O282" s="7">
        <f>IF(OR(G282&lt;&gt;"",H282&lt;&gt;""),1,0) + IF(OR(I282&lt;&gt;"",J282&lt;&gt;""),1,0) + IF(OR(K282&lt;&gt;"",L282&lt;&gt;""),1,0) + IF(OR(M282&lt;&gt;"",N282&lt;&gt;""),1,0)</f>
        <v/>
      </c>
      <c r="P282" s="5">
        <f>IF(O282=4,"✅ Đủ 4 nhiệm vụ",IF(O282&gt;0,"⏳ Đạt "&amp;O282&amp;"/4","❌ Chưa nộp"))</f>
        <v/>
      </c>
    </row>
    <row r="283">
      <c r="A283" s="5" t="n">
        <v>279</v>
      </c>
      <c r="B283" s="5" t="inlineStr">
        <is>
          <t>Tuần 5</t>
        </is>
      </c>
      <c r="C283" s="5" t="inlineStr">
        <is>
          <t>Thứ 5</t>
        </is>
      </c>
      <c r="D283" s="5" t="inlineStr">
        <is>
          <t>08/10/2026</t>
        </is>
      </c>
      <c r="E283" s="5" t="inlineStr">
        <is>
          <t>Ngày 31</t>
        </is>
      </c>
      <c r="F283" s="6" t="inlineStr">
        <is>
          <t>Phạm Huyền</t>
        </is>
      </c>
      <c r="G283" s="18" t="inlineStr"/>
      <c r="H283" s="18" t="inlineStr"/>
      <c r="I283" s="18" t="inlineStr"/>
      <c r="J283" s="18" t="inlineStr"/>
      <c r="K283" s="18" t="inlineStr"/>
      <c r="L283" s="18" t="inlineStr"/>
      <c r="M283" s="18" t="inlineStr"/>
      <c r="N283" s="18" t="inlineStr"/>
      <c r="O283" s="7">
        <f>IF(OR(G283&lt;&gt;"",H283&lt;&gt;""),1,0) + IF(OR(I283&lt;&gt;"",J283&lt;&gt;""),1,0) + IF(OR(K283&lt;&gt;"",L283&lt;&gt;""),1,0) + IF(OR(M283&lt;&gt;"",N283&lt;&gt;""),1,0)</f>
        <v/>
      </c>
      <c r="P283" s="5">
        <f>IF(O283=4,"✅ Đủ 4 nhiệm vụ",IF(O283&gt;0,"⏳ Đạt "&amp;O283&amp;"/4","❌ Chưa nộp"))</f>
        <v/>
      </c>
    </row>
    <row r="284">
      <c r="A284" s="9" t="n">
        <v>280</v>
      </c>
      <c r="B284" s="9" t="inlineStr">
        <is>
          <t>Tuần 5</t>
        </is>
      </c>
      <c r="C284" s="9" t="inlineStr">
        <is>
          <t>Thứ 6</t>
        </is>
      </c>
      <c r="D284" s="9" t="inlineStr">
        <is>
          <t>09/10/2026</t>
        </is>
      </c>
      <c r="E284" s="9" t="inlineStr">
        <is>
          <t>Ngày 32</t>
        </is>
      </c>
      <c r="F284" s="10" t="inlineStr">
        <is>
          <t>Nancy</t>
        </is>
      </c>
      <c r="G284" s="19" t="inlineStr"/>
      <c r="H284" s="19" t="inlineStr"/>
      <c r="I284" s="19" t="inlineStr"/>
      <c r="J284" s="19" t="inlineStr"/>
      <c r="K284" s="19" t="inlineStr"/>
      <c r="L284" s="19" t="inlineStr"/>
      <c r="M284" s="19" t="inlineStr"/>
      <c r="N284" s="19" t="inlineStr"/>
      <c r="O284" s="11">
        <f>IF(OR(G284&lt;&gt;"",H284&lt;&gt;""),1,0) + IF(OR(I284&lt;&gt;"",J284&lt;&gt;""),1,0) + IF(OR(K284&lt;&gt;"",L284&lt;&gt;""),1,0) + IF(OR(M284&lt;&gt;"",N284&lt;&gt;""),1,0)</f>
        <v/>
      </c>
      <c r="P284" s="9">
        <f>IF(O284=4,"✅ Đủ 4 nhiệm vụ",IF(O284&gt;0,"⏳ Đạt "&amp;O284&amp;"/4","❌ Chưa nộp"))</f>
        <v/>
      </c>
    </row>
    <row r="285">
      <c r="A285" s="9" t="n">
        <v>281</v>
      </c>
      <c r="B285" s="9" t="inlineStr">
        <is>
          <t>Tuần 5</t>
        </is>
      </c>
      <c r="C285" s="9" t="inlineStr">
        <is>
          <t>Thứ 6</t>
        </is>
      </c>
      <c r="D285" s="9" t="inlineStr">
        <is>
          <t>09/10/2026</t>
        </is>
      </c>
      <c r="E285" s="9" t="inlineStr">
        <is>
          <t>Ngày 32</t>
        </is>
      </c>
      <c r="F285" s="10" t="inlineStr">
        <is>
          <t>Hoài Học Mãi</t>
        </is>
      </c>
      <c r="G285" s="19" t="inlineStr"/>
      <c r="H285" s="19" t="inlineStr"/>
      <c r="I285" s="19" t="inlineStr"/>
      <c r="J285" s="19" t="inlineStr"/>
      <c r="K285" s="19" t="inlineStr"/>
      <c r="L285" s="19" t="inlineStr"/>
      <c r="M285" s="19" t="inlineStr"/>
      <c r="N285" s="19" t="inlineStr"/>
      <c r="O285" s="11">
        <f>IF(OR(G285&lt;&gt;"",H285&lt;&gt;""),1,0) + IF(OR(I285&lt;&gt;"",J285&lt;&gt;""),1,0) + IF(OR(K285&lt;&gt;"",L285&lt;&gt;""),1,0) + IF(OR(M285&lt;&gt;"",N285&lt;&gt;""),1,0)</f>
        <v/>
      </c>
      <c r="P285" s="9">
        <f>IF(O285=4,"✅ Đủ 4 nhiệm vụ",IF(O285&gt;0,"⏳ Đạt "&amp;O285&amp;"/4","❌ Chưa nộp"))</f>
        <v/>
      </c>
    </row>
    <row r="286">
      <c r="A286" s="9" t="n">
        <v>282</v>
      </c>
      <c r="B286" s="9" t="inlineStr">
        <is>
          <t>Tuần 5</t>
        </is>
      </c>
      <c r="C286" s="9" t="inlineStr">
        <is>
          <t>Thứ 6</t>
        </is>
      </c>
      <c r="D286" s="9" t="inlineStr">
        <is>
          <t>09/10/2026</t>
        </is>
      </c>
      <c r="E286" s="9" t="inlineStr">
        <is>
          <t>Ngày 32</t>
        </is>
      </c>
      <c r="F286" s="10" t="inlineStr">
        <is>
          <t>Lambee</t>
        </is>
      </c>
      <c r="G286" s="19" t="inlineStr"/>
      <c r="H286" s="19" t="inlineStr"/>
      <c r="I286" s="19" t="inlineStr"/>
      <c r="J286" s="19" t="inlineStr"/>
      <c r="K286" s="19" t="inlineStr"/>
      <c r="L286" s="19" t="inlineStr"/>
      <c r="M286" s="19" t="inlineStr"/>
      <c r="N286" s="19" t="inlineStr"/>
      <c r="O286" s="11">
        <f>IF(OR(G286&lt;&gt;"",H286&lt;&gt;""),1,0) + IF(OR(I286&lt;&gt;"",J286&lt;&gt;""),1,0) + IF(OR(K286&lt;&gt;"",L286&lt;&gt;""),1,0) + IF(OR(M286&lt;&gt;"",N286&lt;&gt;""),1,0)</f>
        <v/>
      </c>
      <c r="P286" s="9">
        <f>IF(O286=4,"✅ Đủ 4 nhiệm vụ",IF(O286&gt;0,"⏳ Đạt "&amp;O286&amp;"/4","❌ Chưa nộp"))</f>
        <v/>
      </c>
    </row>
    <row r="287">
      <c r="A287" s="9" t="n">
        <v>283</v>
      </c>
      <c r="B287" s="9" t="inlineStr">
        <is>
          <t>Tuần 5</t>
        </is>
      </c>
      <c r="C287" s="9" t="inlineStr">
        <is>
          <t>Thứ 6</t>
        </is>
      </c>
      <c r="D287" s="9" t="inlineStr">
        <is>
          <t>09/10/2026</t>
        </is>
      </c>
      <c r="E287" s="9" t="inlineStr">
        <is>
          <t>Ngày 32</t>
        </is>
      </c>
      <c r="F287" s="10" t="inlineStr">
        <is>
          <t>Nhung Hoàng</t>
        </is>
      </c>
      <c r="G287" s="19" t="inlineStr"/>
      <c r="H287" s="19" t="inlineStr"/>
      <c r="I287" s="19" t="inlineStr"/>
      <c r="J287" s="19" t="inlineStr"/>
      <c r="K287" s="19" t="inlineStr"/>
      <c r="L287" s="19" t="inlineStr"/>
      <c r="M287" s="19" t="inlineStr"/>
      <c r="N287" s="19" t="inlineStr"/>
      <c r="O287" s="11">
        <f>IF(OR(G287&lt;&gt;"",H287&lt;&gt;""),1,0) + IF(OR(I287&lt;&gt;"",J287&lt;&gt;""),1,0) + IF(OR(K287&lt;&gt;"",L287&lt;&gt;""),1,0) + IF(OR(M287&lt;&gt;"",N287&lt;&gt;""),1,0)</f>
        <v/>
      </c>
      <c r="P287" s="9">
        <f>IF(O287=4,"✅ Đủ 4 nhiệm vụ",IF(O287&gt;0,"⏳ Đạt "&amp;O287&amp;"/4","❌ Chưa nộp"))</f>
        <v/>
      </c>
    </row>
    <row r="288">
      <c r="A288" s="9" t="n">
        <v>284</v>
      </c>
      <c r="B288" s="9" t="inlineStr">
        <is>
          <t>Tuần 5</t>
        </is>
      </c>
      <c r="C288" s="9" t="inlineStr">
        <is>
          <t>Thứ 6</t>
        </is>
      </c>
      <c r="D288" s="9" t="inlineStr">
        <is>
          <t>09/10/2026</t>
        </is>
      </c>
      <c r="E288" s="9" t="inlineStr">
        <is>
          <t>Ngày 32</t>
        </is>
      </c>
      <c r="F288" s="10" t="inlineStr">
        <is>
          <t>Quỳnh Thu</t>
        </is>
      </c>
      <c r="G288" s="19" t="inlineStr"/>
      <c r="H288" s="19" t="inlineStr"/>
      <c r="I288" s="19" t="inlineStr"/>
      <c r="J288" s="19" t="inlineStr"/>
      <c r="K288" s="19" t="inlineStr"/>
      <c r="L288" s="19" t="inlineStr"/>
      <c r="M288" s="19" t="inlineStr"/>
      <c r="N288" s="19" t="inlineStr"/>
      <c r="O288" s="11">
        <f>IF(OR(G288&lt;&gt;"",H288&lt;&gt;""),1,0) + IF(OR(I288&lt;&gt;"",J288&lt;&gt;""),1,0) + IF(OR(K288&lt;&gt;"",L288&lt;&gt;""),1,0) + IF(OR(M288&lt;&gt;"",N288&lt;&gt;""),1,0)</f>
        <v/>
      </c>
      <c r="P288" s="9">
        <f>IF(O288=4,"✅ Đủ 4 nhiệm vụ",IF(O288&gt;0,"⏳ Đạt "&amp;O288&amp;"/4","❌ Chưa nộp"))</f>
        <v/>
      </c>
    </row>
    <row r="289">
      <c r="A289" s="9" t="n">
        <v>285</v>
      </c>
      <c r="B289" s="9" t="inlineStr">
        <is>
          <t>Tuần 5</t>
        </is>
      </c>
      <c r="C289" s="9" t="inlineStr">
        <is>
          <t>Thứ 6</t>
        </is>
      </c>
      <c r="D289" s="9" t="inlineStr">
        <is>
          <t>09/10/2026</t>
        </is>
      </c>
      <c r="E289" s="9" t="inlineStr">
        <is>
          <t>Ngày 32</t>
        </is>
      </c>
      <c r="F289" s="10" t="inlineStr">
        <is>
          <t>TanAnh Pham</t>
        </is>
      </c>
      <c r="G289" s="19" t="inlineStr"/>
      <c r="H289" s="19" t="inlineStr"/>
      <c r="I289" s="19" t="inlineStr"/>
      <c r="J289" s="19" t="inlineStr"/>
      <c r="K289" s="19" t="inlineStr"/>
      <c r="L289" s="19" t="inlineStr"/>
      <c r="M289" s="19" t="inlineStr"/>
      <c r="N289" s="19" t="inlineStr"/>
      <c r="O289" s="11">
        <f>IF(OR(G289&lt;&gt;"",H289&lt;&gt;""),1,0) + IF(OR(I289&lt;&gt;"",J289&lt;&gt;""),1,0) + IF(OR(K289&lt;&gt;"",L289&lt;&gt;""),1,0) + IF(OR(M289&lt;&gt;"",N289&lt;&gt;""),1,0)</f>
        <v/>
      </c>
      <c r="P289" s="9">
        <f>IF(O289=4,"✅ Đủ 4 nhiệm vụ",IF(O289&gt;0,"⏳ Đạt "&amp;O289&amp;"/4","❌ Chưa nộp"))</f>
        <v/>
      </c>
    </row>
    <row r="290">
      <c r="A290" s="9" t="n">
        <v>286</v>
      </c>
      <c r="B290" s="9" t="inlineStr">
        <is>
          <t>Tuần 5</t>
        </is>
      </c>
      <c r="C290" s="9" t="inlineStr">
        <is>
          <t>Thứ 6</t>
        </is>
      </c>
      <c r="D290" s="9" t="inlineStr">
        <is>
          <t>09/10/2026</t>
        </is>
      </c>
      <c r="E290" s="9" t="inlineStr">
        <is>
          <t>Ngày 32</t>
        </is>
      </c>
      <c r="F290" s="10" t="inlineStr">
        <is>
          <t>Thảo Collins Edu</t>
        </is>
      </c>
      <c r="G290" s="19" t="inlineStr"/>
      <c r="H290" s="19" t="inlineStr"/>
      <c r="I290" s="19" t="inlineStr"/>
      <c r="J290" s="19" t="inlineStr"/>
      <c r="K290" s="19" t="inlineStr"/>
      <c r="L290" s="19" t="inlineStr"/>
      <c r="M290" s="19" t="inlineStr"/>
      <c r="N290" s="19" t="inlineStr"/>
      <c r="O290" s="11">
        <f>IF(OR(G290&lt;&gt;"",H290&lt;&gt;""),1,0) + IF(OR(I290&lt;&gt;"",J290&lt;&gt;""),1,0) + IF(OR(K290&lt;&gt;"",L290&lt;&gt;""),1,0) + IF(OR(M290&lt;&gt;"",N290&lt;&gt;""),1,0)</f>
        <v/>
      </c>
      <c r="P290" s="9">
        <f>IF(O290=4,"✅ Đủ 4 nhiệm vụ",IF(O290&gt;0,"⏳ Đạt "&amp;O290&amp;"/4","❌ Chưa nộp"))</f>
        <v/>
      </c>
    </row>
    <row r="291">
      <c r="A291" s="9" t="n">
        <v>287</v>
      </c>
      <c r="B291" s="9" t="inlineStr">
        <is>
          <t>Tuần 5</t>
        </is>
      </c>
      <c r="C291" s="9" t="inlineStr">
        <is>
          <t>Thứ 6</t>
        </is>
      </c>
      <c r="D291" s="9" t="inlineStr">
        <is>
          <t>09/10/2026</t>
        </is>
      </c>
      <c r="E291" s="9" t="inlineStr">
        <is>
          <t>Ngày 32</t>
        </is>
      </c>
      <c r="F291" s="10" t="inlineStr">
        <is>
          <t>Trần Quế Lam</t>
        </is>
      </c>
      <c r="G291" s="19" t="inlineStr"/>
      <c r="H291" s="19" t="inlineStr"/>
      <c r="I291" s="19" t="inlineStr"/>
      <c r="J291" s="19" t="inlineStr"/>
      <c r="K291" s="19" t="inlineStr"/>
      <c r="L291" s="19" t="inlineStr"/>
      <c r="M291" s="19" t="inlineStr"/>
      <c r="N291" s="19" t="inlineStr"/>
      <c r="O291" s="11">
        <f>IF(OR(G291&lt;&gt;"",H291&lt;&gt;""),1,0) + IF(OR(I291&lt;&gt;"",J291&lt;&gt;""),1,0) + IF(OR(K291&lt;&gt;"",L291&lt;&gt;""),1,0) + IF(OR(M291&lt;&gt;"",N291&lt;&gt;""),1,0)</f>
        <v/>
      </c>
      <c r="P291" s="9">
        <f>IF(O291=4,"✅ Đủ 4 nhiệm vụ",IF(O291&gt;0,"⏳ Đạt "&amp;O291&amp;"/4","❌ Chưa nộp"))</f>
        <v/>
      </c>
    </row>
    <row r="292">
      <c r="A292" s="9" t="n">
        <v>288</v>
      </c>
      <c r="B292" s="9" t="inlineStr">
        <is>
          <t>Tuần 5</t>
        </is>
      </c>
      <c r="C292" s="9" t="inlineStr">
        <is>
          <t>Thứ 6</t>
        </is>
      </c>
      <c r="D292" s="9" t="inlineStr">
        <is>
          <t>09/10/2026</t>
        </is>
      </c>
      <c r="E292" s="9" t="inlineStr">
        <is>
          <t>Ngày 32</t>
        </is>
      </c>
      <c r="F292" s="10" t="inlineStr">
        <is>
          <t>Phạm Huyền</t>
        </is>
      </c>
      <c r="G292" s="19" t="inlineStr"/>
      <c r="H292" s="19" t="inlineStr"/>
      <c r="I292" s="19" t="inlineStr"/>
      <c r="J292" s="19" t="inlineStr"/>
      <c r="K292" s="19" t="inlineStr"/>
      <c r="L292" s="19" t="inlineStr"/>
      <c r="M292" s="19" t="inlineStr"/>
      <c r="N292" s="19" t="inlineStr"/>
      <c r="O292" s="11">
        <f>IF(OR(G292&lt;&gt;"",H292&lt;&gt;""),1,0) + IF(OR(I292&lt;&gt;"",J292&lt;&gt;""),1,0) + IF(OR(K292&lt;&gt;"",L292&lt;&gt;""),1,0) + IF(OR(M292&lt;&gt;"",N292&lt;&gt;""),1,0)</f>
        <v/>
      </c>
      <c r="P292" s="9">
        <f>IF(O292=4,"✅ Đủ 4 nhiệm vụ",IF(O292&gt;0,"⏳ Đạt "&amp;O292&amp;"/4","❌ Chưa nộp"))</f>
        <v/>
      </c>
    </row>
    <row r="293">
      <c r="A293" s="5" t="n">
        <v>289</v>
      </c>
      <c r="B293" s="5" t="inlineStr">
        <is>
          <t>Tuần 5</t>
        </is>
      </c>
      <c r="C293" s="5" t="inlineStr">
        <is>
          <t>Thứ 7</t>
        </is>
      </c>
      <c r="D293" s="5" t="inlineStr">
        <is>
          <t>10/10/2026</t>
        </is>
      </c>
      <c r="E293" s="5" t="inlineStr">
        <is>
          <t>Ngày 33</t>
        </is>
      </c>
      <c r="F293" s="6" t="inlineStr">
        <is>
          <t>Nancy</t>
        </is>
      </c>
      <c r="G293" s="18" t="inlineStr"/>
      <c r="H293" s="18" t="inlineStr"/>
      <c r="I293" s="18" t="inlineStr"/>
      <c r="J293" s="18" t="inlineStr"/>
      <c r="K293" s="18" t="inlineStr"/>
      <c r="L293" s="18" t="inlineStr"/>
      <c r="M293" s="18" t="inlineStr"/>
      <c r="N293" s="18" t="inlineStr"/>
      <c r="O293" s="7">
        <f>IF(OR(G293&lt;&gt;"",H293&lt;&gt;""),1,0) + IF(OR(I293&lt;&gt;"",J293&lt;&gt;""),1,0) + IF(OR(K293&lt;&gt;"",L293&lt;&gt;""),1,0) + IF(OR(M293&lt;&gt;"",N293&lt;&gt;""),1,0)</f>
        <v/>
      </c>
      <c r="P293" s="5">
        <f>IF(O293=4,"✅ Đủ 4 nhiệm vụ",IF(O293&gt;0,"⏳ Đạt "&amp;O293&amp;"/4","❌ Chưa nộp"))</f>
        <v/>
      </c>
    </row>
    <row r="294">
      <c r="A294" s="5" t="n">
        <v>290</v>
      </c>
      <c r="B294" s="5" t="inlineStr">
        <is>
          <t>Tuần 5</t>
        </is>
      </c>
      <c r="C294" s="5" t="inlineStr">
        <is>
          <t>Thứ 7</t>
        </is>
      </c>
      <c r="D294" s="5" t="inlineStr">
        <is>
          <t>10/10/2026</t>
        </is>
      </c>
      <c r="E294" s="5" t="inlineStr">
        <is>
          <t>Ngày 33</t>
        </is>
      </c>
      <c r="F294" s="6" t="inlineStr">
        <is>
          <t>Hoài Học Mãi</t>
        </is>
      </c>
      <c r="G294" s="18" t="inlineStr"/>
      <c r="H294" s="18" t="inlineStr"/>
      <c r="I294" s="18" t="inlineStr"/>
      <c r="J294" s="18" t="inlineStr"/>
      <c r="K294" s="18" t="inlineStr"/>
      <c r="L294" s="18" t="inlineStr"/>
      <c r="M294" s="18" t="inlineStr"/>
      <c r="N294" s="18" t="inlineStr"/>
      <c r="O294" s="7">
        <f>IF(OR(G294&lt;&gt;"",H294&lt;&gt;""),1,0) + IF(OR(I294&lt;&gt;"",J294&lt;&gt;""),1,0) + IF(OR(K294&lt;&gt;"",L294&lt;&gt;""),1,0) + IF(OR(M294&lt;&gt;"",N294&lt;&gt;""),1,0)</f>
        <v/>
      </c>
      <c r="P294" s="5">
        <f>IF(O294=4,"✅ Đủ 4 nhiệm vụ",IF(O294&gt;0,"⏳ Đạt "&amp;O294&amp;"/4","❌ Chưa nộp"))</f>
        <v/>
      </c>
    </row>
    <row r="295">
      <c r="A295" s="5" t="n">
        <v>291</v>
      </c>
      <c r="B295" s="5" t="inlineStr">
        <is>
          <t>Tuần 5</t>
        </is>
      </c>
      <c r="C295" s="5" t="inlineStr">
        <is>
          <t>Thứ 7</t>
        </is>
      </c>
      <c r="D295" s="5" t="inlineStr">
        <is>
          <t>10/10/2026</t>
        </is>
      </c>
      <c r="E295" s="5" t="inlineStr">
        <is>
          <t>Ngày 33</t>
        </is>
      </c>
      <c r="F295" s="6" t="inlineStr">
        <is>
          <t>Lambee</t>
        </is>
      </c>
      <c r="G295" s="18" t="inlineStr"/>
      <c r="H295" s="18" t="inlineStr"/>
      <c r="I295" s="18" t="inlineStr"/>
      <c r="J295" s="18" t="inlineStr"/>
      <c r="K295" s="18" t="inlineStr"/>
      <c r="L295" s="18" t="inlineStr"/>
      <c r="M295" s="18" t="inlineStr"/>
      <c r="N295" s="18" t="inlineStr"/>
      <c r="O295" s="7">
        <f>IF(OR(G295&lt;&gt;"",H295&lt;&gt;""),1,0) + IF(OR(I295&lt;&gt;"",J295&lt;&gt;""),1,0) + IF(OR(K295&lt;&gt;"",L295&lt;&gt;""),1,0) + IF(OR(M295&lt;&gt;"",N295&lt;&gt;""),1,0)</f>
        <v/>
      </c>
      <c r="P295" s="5">
        <f>IF(O295=4,"✅ Đủ 4 nhiệm vụ",IF(O295&gt;0,"⏳ Đạt "&amp;O295&amp;"/4","❌ Chưa nộp"))</f>
        <v/>
      </c>
    </row>
    <row r="296">
      <c r="A296" s="5" t="n">
        <v>292</v>
      </c>
      <c r="B296" s="5" t="inlineStr">
        <is>
          <t>Tuần 5</t>
        </is>
      </c>
      <c r="C296" s="5" t="inlineStr">
        <is>
          <t>Thứ 7</t>
        </is>
      </c>
      <c r="D296" s="5" t="inlineStr">
        <is>
          <t>10/10/2026</t>
        </is>
      </c>
      <c r="E296" s="5" t="inlineStr">
        <is>
          <t>Ngày 33</t>
        </is>
      </c>
      <c r="F296" s="6" t="inlineStr">
        <is>
          <t>Nhung Hoàng</t>
        </is>
      </c>
      <c r="G296" s="18" t="inlineStr"/>
      <c r="H296" s="18" t="inlineStr"/>
      <c r="I296" s="18" t="inlineStr"/>
      <c r="J296" s="18" t="inlineStr"/>
      <c r="K296" s="18" t="inlineStr"/>
      <c r="L296" s="18" t="inlineStr"/>
      <c r="M296" s="18" t="inlineStr"/>
      <c r="N296" s="18" t="inlineStr"/>
      <c r="O296" s="7">
        <f>IF(OR(G296&lt;&gt;"",H296&lt;&gt;""),1,0) + IF(OR(I296&lt;&gt;"",J296&lt;&gt;""),1,0) + IF(OR(K296&lt;&gt;"",L296&lt;&gt;""),1,0) + IF(OR(M296&lt;&gt;"",N296&lt;&gt;""),1,0)</f>
        <v/>
      </c>
      <c r="P296" s="5">
        <f>IF(O296=4,"✅ Đủ 4 nhiệm vụ",IF(O296&gt;0,"⏳ Đạt "&amp;O296&amp;"/4","❌ Chưa nộp"))</f>
        <v/>
      </c>
    </row>
    <row r="297">
      <c r="A297" s="5" t="n">
        <v>293</v>
      </c>
      <c r="B297" s="5" t="inlineStr">
        <is>
          <t>Tuần 5</t>
        </is>
      </c>
      <c r="C297" s="5" t="inlineStr">
        <is>
          <t>Thứ 7</t>
        </is>
      </c>
      <c r="D297" s="5" t="inlineStr">
        <is>
          <t>10/10/2026</t>
        </is>
      </c>
      <c r="E297" s="5" t="inlineStr">
        <is>
          <t>Ngày 33</t>
        </is>
      </c>
      <c r="F297" s="6" t="inlineStr">
        <is>
          <t>Quỳnh Thu</t>
        </is>
      </c>
      <c r="G297" s="18" t="inlineStr"/>
      <c r="H297" s="18" t="inlineStr"/>
      <c r="I297" s="18" t="inlineStr"/>
      <c r="J297" s="18" t="inlineStr"/>
      <c r="K297" s="18" t="inlineStr"/>
      <c r="L297" s="18" t="inlineStr"/>
      <c r="M297" s="18" t="inlineStr"/>
      <c r="N297" s="18" t="inlineStr"/>
      <c r="O297" s="7">
        <f>IF(OR(G297&lt;&gt;"",H297&lt;&gt;""),1,0) + IF(OR(I297&lt;&gt;"",J297&lt;&gt;""),1,0) + IF(OR(K297&lt;&gt;"",L297&lt;&gt;""),1,0) + IF(OR(M297&lt;&gt;"",N297&lt;&gt;""),1,0)</f>
        <v/>
      </c>
      <c r="P297" s="5">
        <f>IF(O297=4,"✅ Đủ 4 nhiệm vụ",IF(O297&gt;0,"⏳ Đạt "&amp;O297&amp;"/4","❌ Chưa nộp"))</f>
        <v/>
      </c>
    </row>
    <row r="298">
      <c r="A298" s="5" t="n">
        <v>294</v>
      </c>
      <c r="B298" s="5" t="inlineStr">
        <is>
          <t>Tuần 5</t>
        </is>
      </c>
      <c r="C298" s="5" t="inlineStr">
        <is>
          <t>Thứ 7</t>
        </is>
      </c>
      <c r="D298" s="5" t="inlineStr">
        <is>
          <t>10/10/2026</t>
        </is>
      </c>
      <c r="E298" s="5" t="inlineStr">
        <is>
          <t>Ngày 33</t>
        </is>
      </c>
      <c r="F298" s="6" t="inlineStr">
        <is>
          <t>TanAnh Pham</t>
        </is>
      </c>
      <c r="G298" s="18" t="inlineStr"/>
      <c r="H298" s="18" t="inlineStr"/>
      <c r="I298" s="18" t="inlineStr"/>
      <c r="J298" s="18" t="inlineStr"/>
      <c r="K298" s="18" t="inlineStr"/>
      <c r="L298" s="18" t="inlineStr"/>
      <c r="M298" s="18" t="inlineStr"/>
      <c r="N298" s="18" t="inlineStr"/>
      <c r="O298" s="7">
        <f>IF(OR(G298&lt;&gt;"",H298&lt;&gt;""),1,0) + IF(OR(I298&lt;&gt;"",J298&lt;&gt;""),1,0) + IF(OR(K298&lt;&gt;"",L298&lt;&gt;""),1,0) + IF(OR(M298&lt;&gt;"",N298&lt;&gt;""),1,0)</f>
        <v/>
      </c>
      <c r="P298" s="5">
        <f>IF(O298=4,"✅ Đủ 4 nhiệm vụ",IF(O298&gt;0,"⏳ Đạt "&amp;O298&amp;"/4","❌ Chưa nộp"))</f>
        <v/>
      </c>
    </row>
    <row r="299">
      <c r="A299" s="5" t="n">
        <v>295</v>
      </c>
      <c r="B299" s="5" t="inlineStr">
        <is>
          <t>Tuần 5</t>
        </is>
      </c>
      <c r="C299" s="5" t="inlineStr">
        <is>
          <t>Thứ 7</t>
        </is>
      </c>
      <c r="D299" s="5" t="inlineStr">
        <is>
          <t>10/10/2026</t>
        </is>
      </c>
      <c r="E299" s="5" t="inlineStr">
        <is>
          <t>Ngày 33</t>
        </is>
      </c>
      <c r="F299" s="6" t="inlineStr">
        <is>
          <t>Thảo Collins Edu</t>
        </is>
      </c>
      <c r="G299" s="18" t="inlineStr"/>
      <c r="H299" s="18" t="inlineStr"/>
      <c r="I299" s="18" t="inlineStr"/>
      <c r="J299" s="18" t="inlineStr"/>
      <c r="K299" s="18" t="inlineStr"/>
      <c r="L299" s="18" t="inlineStr"/>
      <c r="M299" s="18" t="inlineStr"/>
      <c r="N299" s="18" t="inlineStr"/>
      <c r="O299" s="7">
        <f>IF(OR(G299&lt;&gt;"",H299&lt;&gt;""),1,0) + IF(OR(I299&lt;&gt;"",J299&lt;&gt;""),1,0) + IF(OR(K299&lt;&gt;"",L299&lt;&gt;""),1,0) + IF(OR(M299&lt;&gt;"",N299&lt;&gt;""),1,0)</f>
        <v/>
      </c>
      <c r="P299" s="5">
        <f>IF(O299=4,"✅ Đủ 4 nhiệm vụ",IF(O299&gt;0,"⏳ Đạt "&amp;O299&amp;"/4","❌ Chưa nộp"))</f>
        <v/>
      </c>
    </row>
    <row r="300">
      <c r="A300" s="5" t="n">
        <v>296</v>
      </c>
      <c r="B300" s="5" t="inlineStr">
        <is>
          <t>Tuần 5</t>
        </is>
      </c>
      <c r="C300" s="5" t="inlineStr">
        <is>
          <t>Thứ 7</t>
        </is>
      </c>
      <c r="D300" s="5" t="inlineStr">
        <is>
          <t>10/10/2026</t>
        </is>
      </c>
      <c r="E300" s="5" t="inlineStr">
        <is>
          <t>Ngày 33</t>
        </is>
      </c>
      <c r="F300" s="6" t="inlineStr">
        <is>
          <t>Trần Quế Lam</t>
        </is>
      </c>
      <c r="G300" s="18" t="inlineStr"/>
      <c r="H300" s="18" t="inlineStr"/>
      <c r="I300" s="18" t="inlineStr"/>
      <c r="J300" s="18" t="inlineStr"/>
      <c r="K300" s="18" t="inlineStr"/>
      <c r="L300" s="18" t="inlineStr"/>
      <c r="M300" s="18" t="inlineStr"/>
      <c r="N300" s="18" t="inlineStr"/>
      <c r="O300" s="7">
        <f>IF(OR(G300&lt;&gt;"",H300&lt;&gt;""),1,0) + IF(OR(I300&lt;&gt;"",J300&lt;&gt;""),1,0) + IF(OR(K300&lt;&gt;"",L300&lt;&gt;""),1,0) + IF(OR(M300&lt;&gt;"",N300&lt;&gt;""),1,0)</f>
        <v/>
      </c>
      <c r="P300" s="5">
        <f>IF(O300=4,"✅ Đủ 4 nhiệm vụ",IF(O300&gt;0,"⏳ Đạt "&amp;O300&amp;"/4","❌ Chưa nộp"))</f>
        <v/>
      </c>
    </row>
    <row r="301">
      <c r="A301" s="5" t="n">
        <v>297</v>
      </c>
      <c r="B301" s="5" t="inlineStr">
        <is>
          <t>Tuần 5</t>
        </is>
      </c>
      <c r="C301" s="5" t="inlineStr">
        <is>
          <t>Thứ 7</t>
        </is>
      </c>
      <c r="D301" s="5" t="inlineStr">
        <is>
          <t>10/10/2026</t>
        </is>
      </c>
      <c r="E301" s="5" t="inlineStr">
        <is>
          <t>Ngày 33</t>
        </is>
      </c>
      <c r="F301" s="6" t="inlineStr">
        <is>
          <t>Phạm Huyền</t>
        </is>
      </c>
      <c r="G301" s="18" t="inlineStr"/>
      <c r="H301" s="18" t="inlineStr"/>
      <c r="I301" s="18" t="inlineStr"/>
      <c r="J301" s="18" t="inlineStr"/>
      <c r="K301" s="18" t="inlineStr"/>
      <c r="L301" s="18" t="inlineStr"/>
      <c r="M301" s="18" t="inlineStr"/>
      <c r="N301" s="18" t="inlineStr"/>
      <c r="O301" s="7">
        <f>IF(OR(G301&lt;&gt;"",H301&lt;&gt;""),1,0) + IF(OR(I301&lt;&gt;"",J301&lt;&gt;""),1,0) + IF(OR(K301&lt;&gt;"",L301&lt;&gt;""),1,0) + IF(OR(M301&lt;&gt;"",N301&lt;&gt;""),1,0)</f>
        <v/>
      </c>
      <c r="P301" s="5">
        <f>IF(O301=4,"✅ Đủ 4 nhiệm vụ",IF(O301&gt;0,"⏳ Đạt "&amp;O301&amp;"/4","❌ Chưa nộp"))</f>
        <v/>
      </c>
    </row>
    <row r="302">
      <c r="A302" s="9" t="n">
        <v>298</v>
      </c>
      <c r="B302" s="9" t="inlineStr">
        <is>
          <t>Tuần 5</t>
        </is>
      </c>
      <c r="C302" s="9" t="inlineStr">
        <is>
          <t>Chủ Nhật</t>
        </is>
      </c>
      <c r="D302" s="9" t="inlineStr">
        <is>
          <t>11/10/2026</t>
        </is>
      </c>
      <c r="E302" s="9" t="inlineStr">
        <is>
          <t>Ngày 34</t>
        </is>
      </c>
      <c r="F302" s="10" t="inlineStr">
        <is>
          <t>Nancy</t>
        </is>
      </c>
      <c r="G302" s="19" t="inlineStr"/>
      <c r="H302" s="19" t="inlineStr"/>
      <c r="I302" s="19" t="inlineStr"/>
      <c r="J302" s="19" t="inlineStr"/>
      <c r="K302" s="19" t="inlineStr"/>
      <c r="L302" s="19" t="inlineStr"/>
      <c r="M302" s="19" t="inlineStr"/>
      <c r="N302" s="19" t="inlineStr"/>
      <c r="O302" s="11">
        <f>IF(OR(G302&lt;&gt;"",H302&lt;&gt;""),1,0) + IF(OR(I302&lt;&gt;"",J302&lt;&gt;""),1,0) + IF(OR(K302&lt;&gt;"",L302&lt;&gt;""),1,0) + IF(OR(M302&lt;&gt;"",N302&lt;&gt;""),1,0)</f>
        <v/>
      </c>
      <c r="P302" s="9">
        <f>IF(O302=4,"✅ Đủ 4 nhiệm vụ",IF(O302&gt;0,"⏳ Đạt "&amp;O302&amp;"/4","❌ Chưa nộp"))</f>
        <v/>
      </c>
    </row>
    <row r="303">
      <c r="A303" s="9" t="n">
        <v>299</v>
      </c>
      <c r="B303" s="9" t="inlineStr">
        <is>
          <t>Tuần 5</t>
        </is>
      </c>
      <c r="C303" s="9" t="inlineStr">
        <is>
          <t>Chủ Nhật</t>
        </is>
      </c>
      <c r="D303" s="9" t="inlineStr">
        <is>
          <t>11/10/2026</t>
        </is>
      </c>
      <c r="E303" s="9" t="inlineStr">
        <is>
          <t>Ngày 34</t>
        </is>
      </c>
      <c r="F303" s="10" t="inlineStr">
        <is>
          <t>Hoài Học Mãi</t>
        </is>
      </c>
      <c r="G303" s="19" t="inlineStr"/>
      <c r="H303" s="19" t="inlineStr"/>
      <c r="I303" s="19" t="inlineStr"/>
      <c r="J303" s="19" t="inlineStr"/>
      <c r="K303" s="19" t="inlineStr"/>
      <c r="L303" s="19" t="inlineStr"/>
      <c r="M303" s="19" t="inlineStr"/>
      <c r="N303" s="19" t="inlineStr"/>
      <c r="O303" s="11">
        <f>IF(OR(G303&lt;&gt;"",H303&lt;&gt;""),1,0) + IF(OR(I303&lt;&gt;"",J303&lt;&gt;""),1,0) + IF(OR(K303&lt;&gt;"",L303&lt;&gt;""),1,0) + IF(OR(M303&lt;&gt;"",N303&lt;&gt;""),1,0)</f>
        <v/>
      </c>
      <c r="P303" s="9">
        <f>IF(O303=4,"✅ Đủ 4 nhiệm vụ",IF(O303&gt;0,"⏳ Đạt "&amp;O303&amp;"/4","❌ Chưa nộp"))</f>
        <v/>
      </c>
    </row>
    <row r="304">
      <c r="A304" s="9" t="n">
        <v>300</v>
      </c>
      <c r="B304" s="9" t="inlineStr">
        <is>
          <t>Tuần 5</t>
        </is>
      </c>
      <c r="C304" s="9" t="inlineStr">
        <is>
          <t>Chủ Nhật</t>
        </is>
      </c>
      <c r="D304" s="9" t="inlineStr">
        <is>
          <t>11/10/2026</t>
        </is>
      </c>
      <c r="E304" s="9" t="inlineStr">
        <is>
          <t>Ngày 34</t>
        </is>
      </c>
      <c r="F304" s="10" t="inlineStr">
        <is>
          <t>Lambee</t>
        </is>
      </c>
      <c r="G304" s="19" t="inlineStr"/>
      <c r="H304" s="19" t="inlineStr"/>
      <c r="I304" s="19" t="inlineStr"/>
      <c r="J304" s="19" t="inlineStr"/>
      <c r="K304" s="19" t="inlineStr"/>
      <c r="L304" s="19" t="inlineStr"/>
      <c r="M304" s="19" t="inlineStr"/>
      <c r="N304" s="19" t="inlineStr"/>
      <c r="O304" s="11">
        <f>IF(OR(G304&lt;&gt;"",H304&lt;&gt;""),1,0) + IF(OR(I304&lt;&gt;"",J304&lt;&gt;""),1,0) + IF(OR(K304&lt;&gt;"",L304&lt;&gt;""),1,0) + IF(OR(M304&lt;&gt;"",N304&lt;&gt;""),1,0)</f>
        <v/>
      </c>
      <c r="P304" s="9">
        <f>IF(O304=4,"✅ Đủ 4 nhiệm vụ",IF(O304&gt;0,"⏳ Đạt "&amp;O304&amp;"/4","❌ Chưa nộp"))</f>
        <v/>
      </c>
    </row>
    <row r="305">
      <c r="A305" s="9" t="n">
        <v>301</v>
      </c>
      <c r="B305" s="9" t="inlineStr">
        <is>
          <t>Tuần 5</t>
        </is>
      </c>
      <c r="C305" s="9" t="inlineStr">
        <is>
          <t>Chủ Nhật</t>
        </is>
      </c>
      <c r="D305" s="9" t="inlineStr">
        <is>
          <t>11/10/2026</t>
        </is>
      </c>
      <c r="E305" s="9" t="inlineStr">
        <is>
          <t>Ngày 34</t>
        </is>
      </c>
      <c r="F305" s="10" t="inlineStr">
        <is>
          <t>Nhung Hoàng</t>
        </is>
      </c>
      <c r="G305" s="19" t="inlineStr"/>
      <c r="H305" s="19" t="inlineStr"/>
      <c r="I305" s="19" t="inlineStr"/>
      <c r="J305" s="19" t="inlineStr"/>
      <c r="K305" s="19" t="inlineStr"/>
      <c r="L305" s="19" t="inlineStr"/>
      <c r="M305" s="19" t="inlineStr"/>
      <c r="N305" s="19" t="inlineStr"/>
      <c r="O305" s="11">
        <f>IF(OR(G305&lt;&gt;"",H305&lt;&gt;""),1,0) + IF(OR(I305&lt;&gt;"",J305&lt;&gt;""),1,0) + IF(OR(K305&lt;&gt;"",L305&lt;&gt;""),1,0) + IF(OR(M305&lt;&gt;"",N305&lt;&gt;""),1,0)</f>
        <v/>
      </c>
      <c r="P305" s="9">
        <f>IF(O305=4,"✅ Đủ 4 nhiệm vụ",IF(O305&gt;0,"⏳ Đạt "&amp;O305&amp;"/4","❌ Chưa nộp"))</f>
        <v/>
      </c>
    </row>
    <row r="306">
      <c r="A306" s="9" t="n">
        <v>302</v>
      </c>
      <c r="B306" s="9" t="inlineStr">
        <is>
          <t>Tuần 5</t>
        </is>
      </c>
      <c r="C306" s="9" t="inlineStr">
        <is>
          <t>Chủ Nhật</t>
        </is>
      </c>
      <c r="D306" s="9" t="inlineStr">
        <is>
          <t>11/10/2026</t>
        </is>
      </c>
      <c r="E306" s="9" t="inlineStr">
        <is>
          <t>Ngày 34</t>
        </is>
      </c>
      <c r="F306" s="10" t="inlineStr">
        <is>
          <t>Quỳnh Thu</t>
        </is>
      </c>
      <c r="G306" s="19" t="inlineStr"/>
      <c r="H306" s="19" t="inlineStr"/>
      <c r="I306" s="19" t="inlineStr"/>
      <c r="J306" s="19" t="inlineStr"/>
      <c r="K306" s="19" t="inlineStr"/>
      <c r="L306" s="19" t="inlineStr"/>
      <c r="M306" s="19" t="inlineStr"/>
      <c r="N306" s="19" t="inlineStr"/>
      <c r="O306" s="11">
        <f>IF(OR(G306&lt;&gt;"",H306&lt;&gt;""),1,0) + IF(OR(I306&lt;&gt;"",J306&lt;&gt;""),1,0) + IF(OR(K306&lt;&gt;"",L306&lt;&gt;""),1,0) + IF(OR(M306&lt;&gt;"",N306&lt;&gt;""),1,0)</f>
        <v/>
      </c>
      <c r="P306" s="9">
        <f>IF(O306=4,"✅ Đủ 4 nhiệm vụ",IF(O306&gt;0,"⏳ Đạt "&amp;O306&amp;"/4","❌ Chưa nộp"))</f>
        <v/>
      </c>
    </row>
    <row r="307">
      <c r="A307" s="9" t="n">
        <v>303</v>
      </c>
      <c r="B307" s="9" t="inlineStr">
        <is>
          <t>Tuần 5</t>
        </is>
      </c>
      <c r="C307" s="9" t="inlineStr">
        <is>
          <t>Chủ Nhật</t>
        </is>
      </c>
      <c r="D307" s="9" t="inlineStr">
        <is>
          <t>11/10/2026</t>
        </is>
      </c>
      <c r="E307" s="9" t="inlineStr">
        <is>
          <t>Ngày 34</t>
        </is>
      </c>
      <c r="F307" s="10" t="inlineStr">
        <is>
          <t>TanAnh Pham</t>
        </is>
      </c>
      <c r="G307" s="19" t="inlineStr"/>
      <c r="H307" s="19" t="inlineStr"/>
      <c r="I307" s="19" t="inlineStr"/>
      <c r="J307" s="19" t="inlineStr"/>
      <c r="K307" s="19" t="inlineStr"/>
      <c r="L307" s="19" t="inlineStr"/>
      <c r="M307" s="19" t="inlineStr"/>
      <c r="N307" s="19" t="inlineStr"/>
      <c r="O307" s="11">
        <f>IF(OR(G307&lt;&gt;"",H307&lt;&gt;""),1,0) + IF(OR(I307&lt;&gt;"",J307&lt;&gt;""),1,0) + IF(OR(K307&lt;&gt;"",L307&lt;&gt;""),1,0) + IF(OR(M307&lt;&gt;"",N307&lt;&gt;""),1,0)</f>
        <v/>
      </c>
      <c r="P307" s="9">
        <f>IF(O307=4,"✅ Đủ 4 nhiệm vụ",IF(O307&gt;0,"⏳ Đạt "&amp;O307&amp;"/4","❌ Chưa nộp"))</f>
        <v/>
      </c>
    </row>
    <row r="308">
      <c r="A308" s="9" t="n">
        <v>304</v>
      </c>
      <c r="B308" s="9" t="inlineStr">
        <is>
          <t>Tuần 5</t>
        </is>
      </c>
      <c r="C308" s="9" t="inlineStr">
        <is>
          <t>Chủ Nhật</t>
        </is>
      </c>
      <c r="D308" s="9" t="inlineStr">
        <is>
          <t>11/10/2026</t>
        </is>
      </c>
      <c r="E308" s="9" t="inlineStr">
        <is>
          <t>Ngày 34</t>
        </is>
      </c>
      <c r="F308" s="10" t="inlineStr">
        <is>
          <t>Thảo Collins Edu</t>
        </is>
      </c>
      <c r="G308" s="19" t="inlineStr"/>
      <c r="H308" s="19" t="inlineStr"/>
      <c r="I308" s="19" t="inlineStr"/>
      <c r="J308" s="19" t="inlineStr"/>
      <c r="K308" s="19" t="inlineStr"/>
      <c r="L308" s="19" t="inlineStr"/>
      <c r="M308" s="19" t="inlineStr"/>
      <c r="N308" s="19" t="inlineStr"/>
      <c r="O308" s="11">
        <f>IF(OR(G308&lt;&gt;"",H308&lt;&gt;""),1,0) + IF(OR(I308&lt;&gt;"",J308&lt;&gt;""),1,0) + IF(OR(K308&lt;&gt;"",L308&lt;&gt;""),1,0) + IF(OR(M308&lt;&gt;"",N308&lt;&gt;""),1,0)</f>
        <v/>
      </c>
      <c r="P308" s="9">
        <f>IF(O308=4,"✅ Đủ 4 nhiệm vụ",IF(O308&gt;0,"⏳ Đạt "&amp;O308&amp;"/4","❌ Chưa nộp"))</f>
        <v/>
      </c>
    </row>
    <row r="309">
      <c r="A309" s="9" t="n">
        <v>305</v>
      </c>
      <c r="B309" s="9" t="inlineStr">
        <is>
          <t>Tuần 5</t>
        </is>
      </c>
      <c r="C309" s="9" t="inlineStr">
        <is>
          <t>Chủ Nhật</t>
        </is>
      </c>
      <c r="D309" s="9" t="inlineStr">
        <is>
          <t>11/10/2026</t>
        </is>
      </c>
      <c r="E309" s="9" t="inlineStr">
        <is>
          <t>Ngày 34</t>
        </is>
      </c>
      <c r="F309" s="10" t="inlineStr">
        <is>
          <t>Trần Quế Lam</t>
        </is>
      </c>
      <c r="G309" s="19" t="inlineStr"/>
      <c r="H309" s="19" t="inlineStr"/>
      <c r="I309" s="19" t="inlineStr"/>
      <c r="J309" s="19" t="inlineStr"/>
      <c r="K309" s="19" t="inlineStr"/>
      <c r="L309" s="19" t="inlineStr"/>
      <c r="M309" s="19" t="inlineStr"/>
      <c r="N309" s="19" t="inlineStr"/>
      <c r="O309" s="11">
        <f>IF(OR(G309&lt;&gt;"",H309&lt;&gt;""),1,0) + IF(OR(I309&lt;&gt;"",J309&lt;&gt;""),1,0) + IF(OR(K309&lt;&gt;"",L309&lt;&gt;""),1,0) + IF(OR(M309&lt;&gt;"",N309&lt;&gt;""),1,0)</f>
        <v/>
      </c>
      <c r="P309" s="9">
        <f>IF(O309=4,"✅ Đủ 4 nhiệm vụ",IF(O309&gt;0,"⏳ Đạt "&amp;O309&amp;"/4","❌ Chưa nộp"))</f>
        <v/>
      </c>
    </row>
    <row r="310">
      <c r="A310" s="9" t="n">
        <v>306</v>
      </c>
      <c r="B310" s="9" t="inlineStr">
        <is>
          <t>Tuần 5</t>
        </is>
      </c>
      <c r="C310" s="9" t="inlineStr">
        <is>
          <t>Chủ Nhật</t>
        </is>
      </c>
      <c r="D310" s="9" t="inlineStr">
        <is>
          <t>11/10/2026</t>
        </is>
      </c>
      <c r="E310" s="9" t="inlineStr">
        <is>
          <t>Ngày 34</t>
        </is>
      </c>
      <c r="F310" s="10" t="inlineStr">
        <is>
          <t>Phạm Huyền</t>
        </is>
      </c>
      <c r="G310" s="19" t="inlineStr"/>
      <c r="H310" s="19" t="inlineStr"/>
      <c r="I310" s="19" t="inlineStr"/>
      <c r="J310" s="19" t="inlineStr"/>
      <c r="K310" s="19" t="inlineStr"/>
      <c r="L310" s="19" t="inlineStr"/>
      <c r="M310" s="19" t="inlineStr"/>
      <c r="N310" s="19" t="inlineStr"/>
      <c r="O310" s="11">
        <f>IF(OR(G310&lt;&gt;"",H310&lt;&gt;""),1,0) + IF(OR(I310&lt;&gt;"",J310&lt;&gt;""),1,0) + IF(OR(K310&lt;&gt;"",L310&lt;&gt;""),1,0) + IF(OR(M310&lt;&gt;"",N310&lt;&gt;""),1,0)</f>
        <v/>
      </c>
      <c r="P310" s="9">
        <f>IF(O310=4,"✅ Đủ 4 nhiệm vụ",IF(O310&gt;0,"⏳ Đạt "&amp;O310&amp;"/4","❌ Chưa nộp"))</f>
        <v/>
      </c>
    </row>
    <row r="311">
      <c r="A311" s="5" t="n">
        <v>307</v>
      </c>
      <c r="B311" s="5" t="inlineStr">
        <is>
          <t>Tuần 5</t>
        </is>
      </c>
      <c r="C311" s="5" t="inlineStr">
        <is>
          <t>Thứ 2</t>
        </is>
      </c>
      <c r="D311" s="5" t="inlineStr">
        <is>
          <t>12/10/2026</t>
        </is>
      </c>
      <c r="E311" s="5" t="inlineStr">
        <is>
          <t>Ngày 35</t>
        </is>
      </c>
      <c r="F311" s="6" t="inlineStr">
        <is>
          <t>Nancy</t>
        </is>
      </c>
      <c r="G311" s="18" t="inlineStr"/>
      <c r="H311" s="18" t="inlineStr"/>
      <c r="I311" s="18" t="inlineStr"/>
      <c r="J311" s="18" t="inlineStr"/>
      <c r="K311" s="18" t="inlineStr"/>
      <c r="L311" s="18" t="inlineStr"/>
      <c r="M311" s="18" t="inlineStr"/>
      <c r="N311" s="18" t="inlineStr"/>
      <c r="O311" s="7">
        <f>IF(OR(G311&lt;&gt;"",H311&lt;&gt;""),1,0) + IF(OR(I311&lt;&gt;"",J311&lt;&gt;""),1,0) + IF(OR(K311&lt;&gt;"",L311&lt;&gt;""),1,0) + IF(OR(M311&lt;&gt;"",N311&lt;&gt;""),1,0)</f>
        <v/>
      </c>
      <c r="P311" s="5">
        <f>IF(O311=4,"✅ Đủ 4 nhiệm vụ",IF(O311&gt;0,"⏳ Đạt "&amp;O311&amp;"/4","❌ Chưa nộp"))</f>
        <v/>
      </c>
    </row>
    <row r="312">
      <c r="A312" s="5" t="n">
        <v>308</v>
      </c>
      <c r="B312" s="5" t="inlineStr">
        <is>
          <t>Tuần 5</t>
        </is>
      </c>
      <c r="C312" s="5" t="inlineStr">
        <is>
          <t>Thứ 2</t>
        </is>
      </c>
      <c r="D312" s="5" t="inlineStr">
        <is>
          <t>12/10/2026</t>
        </is>
      </c>
      <c r="E312" s="5" t="inlineStr">
        <is>
          <t>Ngày 35</t>
        </is>
      </c>
      <c r="F312" s="6" t="inlineStr">
        <is>
          <t>Hoài Học Mãi</t>
        </is>
      </c>
      <c r="G312" s="18" t="inlineStr"/>
      <c r="H312" s="18" t="inlineStr"/>
      <c r="I312" s="18" t="inlineStr"/>
      <c r="J312" s="18" t="inlineStr"/>
      <c r="K312" s="18" t="inlineStr"/>
      <c r="L312" s="18" t="inlineStr"/>
      <c r="M312" s="18" t="inlineStr"/>
      <c r="N312" s="18" t="inlineStr"/>
      <c r="O312" s="7">
        <f>IF(OR(G312&lt;&gt;"",H312&lt;&gt;""),1,0) + IF(OR(I312&lt;&gt;"",J312&lt;&gt;""),1,0) + IF(OR(K312&lt;&gt;"",L312&lt;&gt;""),1,0) + IF(OR(M312&lt;&gt;"",N312&lt;&gt;""),1,0)</f>
        <v/>
      </c>
      <c r="P312" s="5">
        <f>IF(O312=4,"✅ Đủ 4 nhiệm vụ",IF(O312&gt;0,"⏳ Đạt "&amp;O312&amp;"/4","❌ Chưa nộp"))</f>
        <v/>
      </c>
    </row>
    <row r="313">
      <c r="A313" s="5" t="n">
        <v>309</v>
      </c>
      <c r="B313" s="5" t="inlineStr">
        <is>
          <t>Tuần 5</t>
        </is>
      </c>
      <c r="C313" s="5" t="inlineStr">
        <is>
          <t>Thứ 2</t>
        </is>
      </c>
      <c r="D313" s="5" t="inlineStr">
        <is>
          <t>12/10/2026</t>
        </is>
      </c>
      <c r="E313" s="5" t="inlineStr">
        <is>
          <t>Ngày 35</t>
        </is>
      </c>
      <c r="F313" s="6" t="inlineStr">
        <is>
          <t>Lambee</t>
        </is>
      </c>
      <c r="G313" s="18" t="inlineStr"/>
      <c r="H313" s="18" t="inlineStr"/>
      <c r="I313" s="18" t="inlineStr"/>
      <c r="J313" s="18" t="inlineStr"/>
      <c r="K313" s="18" t="inlineStr"/>
      <c r="L313" s="18" t="inlineStr"/>
      <c r="M313" s="18" t="inlineStr"/>
      <c r="N313" s="18" t="inlineStr"/>
      <c r="O313" s="7">
        <f>IF(OR(G313&lt;&gt;"",H313&lt;&gt;""),1,0) + IF(OR(I313&lt;&gt;"",J313&lt;&gt;""),1,0) + IF(OR(K313&lt;&gt;"",L313&lt;&gt;""),1,0) + IF(OR(M313&lt;&gt;"",N313&lt;&gt;""),1,0)</f>
        <v/>
      </c>
      <c r="P313" s="5">
        <f>IF(O313=4,"✅ Đủ 4 nhiệm vụ",IF(O313&gt;0,"⏳ Đạt "&amp;O313&amp;"/4","❌ Chưa nộp"))</f>
        <v/>
      </c>
    </row>
    <row r="314">
      <c r="A314" s="5" t="n">
        <v>310</v>
      </c>
      <c r="B314" s="5" t="inlineStr">
        <is>
          <t>Tuần 5</t>
        </is>
      </c>
      <c r="C314" s="5" t="inlineStr">
        <is>
          <t>Thứ 2</t>
        </is>
      </c>
      <c r="D314" s="5" t="inlineStr">
        <is>
          <t>12/10/2026</t>
        </is>
      </c>
      <c r="E314" s="5" t="inlineStr">
        <is>
          <t>Ngày 35</t>
        </is>
      </c>
      <c r="F314" s="6" t="inlineStr">
        <is>
          <t>Nhung Hoàng</t>
        </is>
      </c>
      <c r="G314" s="18" t="inlineStr"/>
      <c r="H314" s="18" t="inlineStr"/>
      <c r="I314" s="18" t="inlineStr"/>
      <c r="J314" s="18" t="inlineStr"/>
      <c r="K314" s="18" t="inlineStr"/>
      <c r="L314" s="18" t="inlineStr"/>
      <c r="M314" s="18" t="inlineStr"/>
      <c r="N314" s="18" t="inlineStr"/>
      <c r="O314" s="7">
        <f>IF(OR(G314&lt;&gt;"",H314&lt;&gt;""),1,0) + IF(OR(I314&lt;&gt;"",J314&lt;&gt;""),1,0) + IF(OR(K314&lt;&gt;"",L314&lt;&gt;""),1,0) + IF(OR(M314&lt;&gt;"",N314&lt;&gt;""),1,0)</f>
        <v/>
      </c>
      <c r="P314" s="5">
        <f>IF(O314=4,"✅ Đủ 4 nhiệm vụ",IF(O314&gt;0,"⏳ Đạt "&amp;O314&amp;"/4","❌ Chưa nộp"))</f>
        <v/>
      </c>
    </row>
    <row r="315">
      <c r="A315" s="5" t="n">
        <v>311</v>
      </c>
      <c r="B315" s="5" t="inlineStr">
        <is>
          <t>Tuần 5</t>
        </is>
      </c>
      <c r="C315" s="5" t="inlineStr">
        <is>
          <t>Thứ 2</t>
        </is>
      </c>
      <c r="D315" s="5" t="inlineStr">
        <is>
          <t>12/10/2026</t>
        </is>
      </c>
      <c r="E315" s="5" t="inlineStr">
        <is>
          <t>Ngày 35</t>
        </is>
      </c>
      <c r="F315" s="6" t="inlineStr">
        <is>
          <t>Quỳnh Thu</t>
        </is>
      </c>
      <c r="G315" s="18" t="inlineStr"/>
      <c r="H315" s="18" t="inlineStr"/>
      <c r="I315" s="18" t="inlineStr"/>
      <c r="J315" s="18" t="inlineStr"/>
      <c r="K315" s="18" t="inlineStr"/>
      <c r="L315" s="18" t="inlineStr"/>
      <c r="M315" s="18" t="inlineStr"/>
      <c r="N315" s="18" t="inlineStr"/>
      <c r="O315" s="7">
        <f>IF(OR(G315&lt;&gt;"",H315&lt;&gt;""),1,0) + IF(OR(I315&lt;&gt;"",J315&lt;&gt;""),1,0) + IF(OR(K315&lt;&gt;"",L315&lt;&gt;""),1,0) + IF(OR(M315&lt;&gt;"",N315&lt;&gt;""),1,0)</f>
        <v/>
      </c>
      <c r="P315" s="5">
        <f>IF(O315=4,"✅ Đủ 4 nhiệm vụ",IF(O315&gt;0,"⏳ Đạt "&amp;O315&amp;"/4","❌ Chưa nộp"))</f>
        <v/>
      </c>
    </row>
    <row r="316">
      <c r="A316" s="5" t="n">
        <v>312</v>
      </c>
      <c r="B316" s="5" t="inlineStr">
        <is>
          <t>Tuần 5</t>
        </is>
      </c>
      <c r="C316" s="5" t="inlineStr">
        <is>
          <t>Thứ 2</t>
        </is>
      </c>
      <c r="D316" s="5" t="inlineStr">
        <is>
          <t>12/10/2026</t>
        </is>
      </c>
      <c r="E316" s="5" t="inlineStr">
        <is>
          <t>Ngày 35</t>
        </is>
      </c>
      <c r="F316" s="6" t="inlineStr">
        <is>
          <t>TanAnh Pham</t>
        </is>
      </c>
      <c r="G316" s="18" t="inlineStr"/>
      <c r="H316" s="18" t="inlineStr"/>
      <c r="I316" s="18" t="inlineStr"/>
      <c r="J316" s="18" t="inlineStr"/>
      <c r="K316" s="18" t="inlineStr"/>
      <c r="L316" s="18" t="inlineStr"/>
      <c r="M316" s="18" t="inlineStr"/>
      <c r="N316" s="18" t="inlineStr"/>
      <c r="O316" s="7">
        <f>IF(OR(G316&lt;&gt;"",H316&lt;&gt;""),1,0) + IF(OR(I316&lt;&gt;"",J316&lt;&gt;""),1,0) + IF(OR(K316&lt;&gt;"",L316&lt;&gt;""),1,0) + IF(OR(M316&lt;&gt;"",N316&lt;&gt;""),1,0)</f>
        <v/>
      </c>
      <c r="P316" s="5">
        <f>IF(O316=4,"✅ Đủ 4 nhiệm vụ",IF(O316&gt;0,"⏳ Đạt "&amp;O316&amp;"/4","❌ Chưa nộp"))</f>
        <v/>
      </c>
    </row>
    <row r="317">
      <c r="A317" s="5" t="n">
        <v>313</v>
      </c>
      <c r="B317" s="5" t="inlineStr">
        <is>
          <t>Tuần 5</t>
        </is>
      </c>
      <c r="C317" s="5" t="inlineStr">
        <is>
          <t>Thứ 2</t>
        </is>
      </c>
      <c r="D317" s="5" t="inlineStr">
        <is>
          <t>12/10/2026</t>
        </is>
      </c>
      <c r="E317" s="5" t="inlineStr">
        <is>
          <t>Ngày 35</t>
        </is>
      </c>
      <c r="F317" s="6" t="inlineStr">
        <is>
          <t>Thảo Collins Edu</t>
        </is>
      </c>
      <c r="G317" s="18" t="inlineStr"/>
      <c r="H317" s="18" t="inlineStr"/>
      <c r="I317" s="18" t="inlineStr"/>
      <c r="J317" s="18" t="inlineStr"/>
      <c r="K317" s="18" t="inlineStr"/>
      <c r="L317" s="18" t="inlineStr"/>
      <c r="M317" s="18" t="inlineStr"/>
      <c r="N317" s="18" t="inlineStr"/>
      <c r="O317" s="7">
        <f>IF(OR(G317&lt;&gt;"",H317&lt;&gt;""),1,0) + IF(OR(I317&lt;&gt;"",J317&lt;&gt;""),1,0) + IF(OR(K317&lt;&gt;"",L317&lt;&gt;""),1,0) + IF(OR(M317&lt;&gt;"",N317&lt;&gt;""),1,0)</f>
        <v/>
      </c>
      <c r="P317" s="5">
        <f>IF(O317=4,"✅ Đủ 4 nhiệm vụ",IF(O317&gt;0,"⏳ Đạt "&amp;O317&amp;"/4","❌ Chưa nộp"))</f>
        <v/>
      </c>
    </row>
    <row r="318">
      <c r="A318" s="5" t="n">
        <v>314</v>
      </c>
      <c r="B318" s="5" t="inlineStr">
        <is>
          <t>Tuần 5</t>
        </is>
      </c>
      <c r="C318" s="5" t="inlineStr">
        <is>
          <t>Thứ 2</t>
        </is>
      </c>
      <c r="D318" s="5" t="inlineStr">
        <is>
          <t>12/10/2026</t>
        </is>
      </c>
      <c r="E318" s="5" t="inlineStr">
        <is>
          <t>Ngày 35</t>
        </is>
      </c>
      <c r="F318" s="6" t="inlineStr">
        <is>
          <t>Trần Quế Lam</t>
        </is>
      </c>
      <c r="G318" s="18" t="inlineStr"/>
      <c r="H318" s="18" t="inlineStr"/>
      <c r="I318" s="18" t="inlineStr"/>
      <c r="J318" s="18" t="inlineStr"/>
      <c r="K318" s="18" t="inlineStr"/>
      <c r="L318" s="18" t="inlineStr"/>
      <c r="M318" s="18" t="inlineStr"/>
      <c r="N318" s="18" t="inlineStr"/>
      <c r="O318" s="7">
        <f>IF(OR(G318&lt;&gt;"",H318&lt;&gt;""),1,0) + IF(OR(I318&lt;&gt;"",J318&lt;&gt;""),1,0) + IF(OR(K318&lt;&gt;"",L318&lt;&gt;""),1,0) + IF(OR(M318&lt;&gt;"",N318&lt;&gt;""),1,0)</f>
        <v/>
      </c>
      <c r="P318" s="5">
        <f>IF(O318=4,"✅ Đủ 4 nhiệm vụ",IF(O318&gt;0,"⏳ Đạt "&amp;O318&amp;"/4","❌ Chưa nộp"))</f>
        <v/>
      </c>
    </row>
    <row r="319">
      <c r="A319" s="5" t="n">
        <v>315</v>
      </c>
      <c r="B319" s="5" t="inlineStr">
        <is>
          <t>Tuần 5</t>
        </is>
      </c>
      <c r="C319" s="5" t="inlineStr">
        <is>
          <t>Thứ 2</t>
        </is>
      </c>
      <c r="D319" s="5" t="inlineStr">
        <is>
          <t>12/10/2026</t>
        </is>
      </c>
      <c r="E319" s="5" t="inlineStr">
        <is>
          <t>Ngày 35</t>
        </is>
      </c>
      <c r="F319" s="6" t="inlineStr">
        <is>
          <t>Phạm Huyền</t>
        </is>
      </c>
      <c r="G319" s="18" t="inlineStr"/>
      <c r="H319" s="18" t="inlineStr"/>
      <c r="I319" s="18" t="inlineStr"/>
      <c r="J319" s="18" t="inlineStr"/>
      <c r="K319" s="18" t="inlineStr"/>
      <c r="L319" s="18" t="inlineStr"/>
      <c r="M319" s="18" t="inlineStr"/>
      <c r="N319" s="18" t="inlineStr"/>
      <c r="O319" s="7">
        <f>IF(OR(G319&lt;&gt;"",H319&lt;&gt;""),1,0) + IF(OR(I319&lt;&gt;"",J319&lt;&gt;""),1,0) + IF(OR(K319&lt;&gt;"",L319&lt;&gt;""),1,0) + IF(OR(M319&lt;&gt;"",N319&lt;&gt;""),1,0)</f>
        <v/>
      </c>
      <c r="P319" s="5">
        <f>IF(O319=4,"✅ Đủ 4 nhiệm vụ",IF(O319&gt;0,"⏳ Đạt "&amp;O319&amp;"/4","❌ Chưa nộp"))</f>
        <v/>
      </c>
    </row>
    <row r="320">
      <c r="A320" s="9" t="n">
        <v>316</v>
      </c>
      <c r="B320" s="9" t="inlineStr">
        <is>
          <t>Tuần 6</t>
        </is>
      </c>
      <c r="C320" s="9" t="inlineStr">
        <is>
          <t>Thứ 3</t>
        </is>
      </c>
      <c r="D320" s="9" t="inlineStr">
        <is>
          <t>13/10/2026</t>
        </is>
      </c>
      <c r="E320" s="9" t="inlineStr">
        <is>
          <t>Ngày 36</t>
        </is>
      </c>
      <c r="F320" s="10" t="inlineStr">
        <is>
          <t>Nancy</t>
        </is>
      </c>
      <c r="G320" s="19" t="inlineStr"/>
      <c r="H320" s="19" t="inlineStr"/>
      <c r="I320" s="19" t="inlineStr"/>
      <c r="J320" s="19" t="inlineStr"/>
      <c r="K320" s="19" t="inlineStr"/>
      <c r="L320" s="19" t="inlineStr"/>
      <c r="M320" s="19" t="inlineStr"/>
      <c r="N320" s="19" t="inlineStr"/>
      <c r="O320" s="11">
        <f>IF(OR(G320&lt;&gt;"",H320&lt;&gt;""),1,0) + IF(OR(I320&lt;&gt;"",J320&lt;&gt;""),1,0) + IF(OR(K320&lt;&gt;"",L320&lt;&gt;""),1,0) + IF(OR(M320&lt;&gt;"",N320&lt;&gt;""),1,0)</f>
        <v/>
      </c>
      <c r="P320" s="9">
        <f>IF(O320=4,"✅ Đủ 4 nhiệm vụ",IF(O320&gt;0,"⏳ Đạt "&amp;O320&amp;"/4","❌ Chưa nộp"))</f>
        <v/>
      </c>
    </row>
    <row r="321">
      <c r="A321" s="9" t="n">
        <v>317</v>
      </c>
      <c r="B321" s="9" t="inlineStr">
        <is>
          <t>Tuần 6</t>
        </is>
      </c>
      <c r="C321" s="9" t="inlineStr">
        <is>
          <t>Thứ 3</t>
        </is>
      </c>
      <c r="D321" s="9" t="inlineStr">
        <is>
          <t>13/10/2026</t>
        </is>
      </c>
      <c r="E321" s="9" t="inlineStr">
        <is>
          <t>Ngày 36</t>
        </is>
      </c>
      <c r="F321" s="10" t="inlineStr">
        <is>
          <t>Hoài Học Mãi</t>
        </is>
      </c>
      <c r="G321" s="19" t="inlineStr"/>
      <c r="H321" s="19" t="inlineStr"/>
      <c r="I321" s="19" t="inlineStr"/>
      <c r="J321" s="19" t="inlineStr"/>
      <c r="K321" s="19" t="inlineStr"/>
      <c r="L321" s="19" t="inlineStr"/>
      <c r="M321" s="19" t="inlineStr"/>
      <c r="N321" s="19" t="inlineStr"/>
      <c r="O321" s="11">
        <f>IF(OR(G321&lt;&gt;"",H321&lt;&gt;""),1,0) + IF(OR(I321&lt;&gt;"",J321&lt;&gt;""),1,0) + IF(OR(K321&lt;&gt;"",L321&lt;&gt;""),1,0) + IF(OR(M321&lt;&gt;"",N321&lt;&gt;""),1,0)</f>
        <v/>
      </c>
      <c r="P321" s="9">
        <f>IF(O321=4,"✅ Đủ 4 nhiệm vụ",IF(O321&gt;0,"⏳ Đạt "&amp;O321&amp;"/4","❌ Chưa nộp"))</f>
        <v/>
      </c>
    </row>
    <row r="322">
      <c r="A322" s="9" t="n">
        <v>318</v>
      </c>
      <c r="B322" s="9" t="inlineStr">
        <is>
          <t>Tuần 6</t>
        </is>
      </c>
      <c r="C322" s="9" t="inlineStr">
        <is>
          <t>Thứ 3</t>
        </is>
      </c>
      <c r="D322" s="9" t="inlineStr">
        <is>
          <t>13/10/2026</t>
        </is>
      </c>
      <c r="E322" s="9" t="inlineStr">
        <is>
          <t>Ngày 36</t>
        </is>
      </c>
      <c r="F322" s="10" t="inlineStr">
        <is>
          <t>Lambee</t>
        </is>
      </c>
      <c r="G322" s="19" t="inlineStr"/>
      <c r="H322" s="19" t="inlineStr"/>
      <c r="I322" s="19" t="inlineStr"/>
      <c r="J322" s="19" t="inlineStr"/>
      <c r="K322" s="19" t="inlineStr"/>
      <c r="L322" s="19" t="inlineStr"/>
      <c r="M322" s="19" t="inlineStr"/>
      <c r="N322" s="19" t="inlineStr"/>
      <c r="O322" s="11">
        <f>IF(OR(G322&lt;&gt;"",H322&lt;&gt;""),1,0) + IF(OR(I322&lt;&gt;"",J322&lt;&gt;""),1,0) + IF(OR(K322&lt;&gt;"",L322&lt;&gt;""),1,0) + IF(OR(M322&lt;&gt;"",N322&lt;&gt;""),1,0)</f>
        <v/>
      </c>
      <c r="P322" s="9">
        <f>IF(O322=4,"✅ Đủ 4 nhiệm vụ",IF(O322&gt;0,"⏳ Đạt "&amp;O322&amp;"/4","❌ Chưa nộp"))</f>
        <v/>
      </c>
    </row>
    <row r="323">
      <c r="A323" s="9" t="n">
        <v>319</v>
      </c>
      <c r="B323" s="9" t="inlineStr">
        <is>
          <t>Tuần 6</t>
        </is>
      </c>
      <c r="C323" s="9" t="inlineStr">
        <is>
          <t>Thứ 3</t>
        </is>
      </c>
      <c r="D323" s="9" t="inlineStr">
        <is>
          <t>13/10/2026</t>
        </is>
      </c>
      <c r="E323" s="9" t="inlineStr">
        <is>
          <t>Ngày 36</t>
        </is>
      </c>
      <c r="F323" s="10" t="inlineStr">
        <is>
          <t>Nhung Hoàng</t>
        </is>
      </c>
      <c r="G323" s="19" t="inlineStr"/>
      <c r="H323" s="19" t="inlineStr"/>
      <c r="I323" s="19" t="inlineStr"/>
      <c r="J323" s="19" t="inlineStr"/>
      <c r="K323" s="19" t="inlineStr"/>
      <c r="L323" s="19" t="inlineStr"/>
      <c r="M323" s="19" t="inlineStr"/>
      <c r="N323" s="19" t="inlineStr"/>
      <c r="O323" s="11">
        <f>IF(OR(G323&lt;&gt;"",H323&lt;&gt;""),1,0) + IF(OR(I323&lt;&gt;"",J323&lt;&gt;""),1,0) + IF(OR(K323&lt;&gt;"",L323&lt;&gt;""),1,0) + IF(OR(M323&lt;&gt;"",N323&lt;&gt;""),1,0)</f>
        <v/>
      </c>
      <c r="P323" s="9">
        <f>IF(O323=4,"✅ Đủ 4 nhiệm vụ",IF(O323&gt;0,"⏳ Đạt "&amp;O323&amp;"/4","❌ Chưa nộp"))</f>
        <v/>
      </c>
    </row>
    <row r="324">
      <c r="A324" s="9" t="n">
        <v>320</v>
      </c>
      <c r="B324" s="9" t="inlineStr">
        <is>
          <t>Tuần 6</t>
        </is>
      </c>
      <c r="C324" s="9" t="inlineStr">
        <is>
          <t>Thứ 3</t>
        </is>
      </c>
      <c r="D324" s="9" t="inlineStr">
        <is>
          <t>13/10/2026</t>
        </is>
      </c>
      <c r="E324" s="9" t="inlineStr">
        <is>
          <t>Ngày 36</t>
        </is>
      </c>
      <c r="F324" s="10" t="inlineStr">
        <is>
          <t>Quỳnh Thu</t>
        </is>
      </c>
      <c r="G324" s="19" t="inlineStr"/>
      <c r="H324" s="19" t="inlineStr"/>
      <c r="I324" s="19" t="inlineStr"/>
      <c r="J324" s="19" t="inlineStr"/>
      <c r="K324" s="19" t="inlineStr"/>
      <c r="L324" s="19" t="inlineStr"/>
      <c r="M324" s="19" t="inlineStr"/>
      <c r="N324" s="19" t="inlineStr"/>
      <c r="O324" s="11">
        <f>IF(OR(G324&lt;&gt;"",H324&lt;&gt;""),1,0) + IF(OR(I324&lt;&gt;"",J324&lt;&gt;""),1,0) + IF(OR(K324&lt;&gt;"",L324&lt;&gt;""),1,0) + IF(OR(M324&lt;&gt;"",N324&lt;&gt;""),1,0)</f>
        <v/>
      </c>
      <c r="P324" s="9">
        <f>IF(O324=4,"✅ Đủ 4 nhiệm vụ",IF(O324&gt;0,"⏳ Đạt "&amp;O324&amp;"/4","❌ Chưa nộp"))</f>
        <v/>
      </c>
    </row>
    <row r="325">
      <c r="A325" s="9" t="n">
        <v>321</v>
      </c>
      <c r="B325" s="9" t="inlineStr">
        <is>
          <t>Tuần 6</t>
        </is>
      </c>
      <c r="C325" s="9" t="inlineStr">
        <is>
          <t>Thứ 3</t>
        </is>
      </c>
      <c r="D325" s="9" t="inlineStr">
        <is>
          <t>13/10/2026</t>
        </is>
      </c>
      <c r="E325" s="9" t="inlineStr">
        <is>
          <t>Ngày 36</t>
        </is>
      </c>
      <c r="F325" s="10" t="inlineStr">
        <is>
          <t>TanAnh Pham</t>
        </is>
      </c>
      <c r="G325" s="19" t="inlineStr"/>
      <c r="H325" s="19" t="inlineStr"/>
      <c r="I325" s="19" t="inlineStr"/>
      <c r="J325" s="19" t="inlineStr"/>
      <c r="K325" s="19" t="inlineStr"/>
      <c r="L325" s="19" t="inlineStr"/>
      <c r="M325" s="19" t="inlineStr"/>
      <c r="N325" s="19" t="inlineStr"/>
      <c r="O325" s="11">
        <f>IF(OR(G325&lt;&gt;"",H325&lt;&gt;""),1,0) + IF(OR(I325&lt;&gt;"",J325&lt;&gt;""),1,0) + IF(OR(K325&lt;&gt;"",L325&lt;&gt;""),1,0) + IF(OR(M325&lt;&gt;"",N325&lt;&gt;""),1,0)</f>
        <v/>
      </c>
      <c r="P325" s="9">
        <f>IF(O325=4,"✅ Đủ 4 nhiệm vụ",IF(O325&gt;0,"⏳ Đạt "&amp;O325&amp;"/4","❌ Chưa nộp"))</f>
        <v/>
      </c>
    </row>
    <row r="326">
      <c r="A326" s="9" t="n">
        <v>322</v>
      </c>
      <c r="B326" s="9" t="inlineStr">
        <is>
          <t>Tuần 6</t>
        </is>
      </c>
      <c r="C326" s="9" t="inlineStr">
        <is>
          <t>Thứ 3</t>
        </is>
      </c>
      <c r="D326" s="9" t="inlineStr">
        <is>
          <t>13/10/2026</t>
        </is>
      </c>
      <c r="E326" s="9" t="inlineStr">
        <is>
          <t>Ngày 36</t>
        </is>
      </c>
      <c r="F326" s="10" t="inlineStr">
        <is>
          <t>Thảo Collins Edu</t>
        </is>
      </c>
      <c r="G326" s="19" t="inlineStr"/>
      <c r="H326" s="19" t="inlineStr"/>
      <c r="I326" s="19" t="inlineStr"/>
      <c r="J326" s="19" t="inlineStr"/>
      <c r="K326" s="19" t="inlineStr"/>
      <c r="L326" s="19" t="inlineStr"/>
      <c r="M326" s="19" t="inlineStr"/>
      <c r="N326" s="19" t="inlineStr"/>
      <c r="O326" s="11">
        <f>IF(OR(G326&lt;&gt;"",H326&lt;&gt;""),1,0) + IF(OR(I326&lt;&gt;"",J326&lt;&gt;""),1,0) + IF(OR(K326&lt;&gt;"",L326&lt;&gt;""),1,0) + IF(OR(M326&lt;&gt;"",N326&lt;&gt;""),1,0)</f>
        <v/>
      </c>
      <c r="P326" s="9">
        <f>IF(O326=4,"✅ Đủ 4 nhiệm vụ",IF(O326&gt;0,"⏳ Đạt "&amp;O326&amp;"/4","❌ Chưa nộp"))</f>
        <v/>
      </c>
    </row>
    <row r="327">
      <c r="A327" s="9" t="n">
        <v>323</v>
      </c>
      <c r="B327" s="9" t="inlineStr">
        <is>
          <t>Tuần 6</t>
        </is>
      </c>
      <c r="C327" s="9" t="inlineStr">
        <is>
          <t>Thứ 3</t>
        </is>
      </c>
      <c r="D327" s="9" t="inlineStr">
        <is>
          <t>13/10/2026</t>
        </is>
      </c>
      <c r="E327" s="9" t="inlineStr">
        <is>
          <t>Ngày 36</t>
        </is>
      </c>
      <c r="F327" s="10" t="inlineStr">
        <is>
          <t>Trần Quế Lam</t>
        </is>
      </c>
      <c r="G327" s="19" t="inlineStr"/>
      <c r="H327" s="19" t="inlineStr"/>
      <c r="I327" s="19" t="inlineStr"/>
      <c r="J327" s="19" t="inlineStr"/>
      <c r="K327" s="19" t="inlineStr"/>
      <c r="L327" s="19" t="inlineStr"/>
      <c r="M327" s="19" t="inlineStr"/>
      <c r="N327" s="19" t="inlineStr"/>
      <c r="O327" s="11">
        <f>IF(OR(G327&lt;&gt;"",H327&lt;&gt;""),1,0) + IF(OR(I327&lt;&gt;"",J327&lt;&gt;""),1,0) + IF(OR(K327&lt;&gt;"",L327&lt;&gt;""),1,0) + IF(OR(M327&lt;&gt;"",N327&lt;&gt;""),1,0)</f>
        <v/>
      </c>
      <c r="P327" s="9">
        <f>IF(O327=4,"✅ Đủ 4 nhiệm vụ",IF(O327&gt;0,"⏳ Đạt "&amp;O327&amp;"/4","❌ Chưa nộp"))</f>
        <v/>
      </c>
    </row>
    <row r="328">
      <c r="A328" s="9" t="n">
        <v>324</v>
      </c>
      <c r="B328" s="9" t="inlineStr">
        <is>
          <t>Tuần 6</t>
        </is>
      </c>
      <c r="C328" s="9" t="inlineStr">
        <is>
          <t>Thứ 3</t>
        </is>
      </c>
      <c r="D328" s="9" t="inlineStr">
        <is>
          <t>13/10/2026</t>
        </is>
      </c>
      <c r="E328" s="9" t="inlineStr">
        <is>
          <t>Ngày 36</t>
        </is>
      </c>
      <c r="F328" s="10" t="inlineStr">
        <is>
          <t>Phạm Huyền</t>
        </is>
      </c>
      <c r="G328" s="19" t="inlineStr"/>
      <c r="H328" s="19" t="inlineStr"/>
      <c r="I328" s="19" t="inlineStr"/>
      <c r="J328" s="19" t="inlineStr"/>
      <c r="K328" s="19" t="inlineStr"/>
      <c r="L328" s="19" t="inlineStr"/>
      <c r="M328" s="19" t="inlineStr"/>
      <c r="N328" s="19" t="inlineStr"/>
      <c r="O328" s="11">
        <f>IF(OR(G328&lt;&gt;"",H328&lt;&gt;""),1,0) + IF(OR(I328&lt;&gt;"",J328&lt;&gt;""),1,0) + IF(OR(K328&lt;&gt;"",L328&lt;&gt;""),1,0) + IF(OR(M328&lt;&gt;"",N328&lt;&gt;""),1,0)</f>
        <v/>
      </c>
      <c r="P328" s="9">
        <f>IF(O328=4,"✅ Đủ 4 nhiệm vụ",IF(O328&gt;0,"⏳ Đạt "&amp;O328&amp;"/4","❌ Chưa nộp"))</f>
        <v/>
      </c>
    </row>
    <row r="329">
      <c r="A329" s="5" t="n">
        <v>325</v>
      </c>
      <c r="B329" s="5" t="inlineStr">
        <is>
          <t>Tuần 6</t>
        </is>
      </c>
      <c r="C329" s="5" t="inlineStr">
        <is>
          <t>Thứ 4</t>
        </is>
      </c>
      <c r="D329" s="5" t="inlineStr">
        <is>
          <t>14/10/2026</t>
        </is>
      </c>
      <c r="E329" s="5" t="inlineStr">
        <is>
          <t>Ngày 37</t>
        </is>
      </c>
      <c r="F329" s="6" t="inlineStr">
        <is>
          <t>Nancy</t>
        </is>
      </c>
      <c r="G329" s="18" t="inlineStr"/>
      <c r="H329" s="18" t="inlineStr"/>
      <c r="I329" s="18" t="inlineStr"/>
      <c r="J329" s="18" t="inlineStr"/>
      <c r="K329" s="18" t="inlineStr"/>
      <c r="L329" s="18" t="inlineStr"/>
      <c r="M329" s="18" t="inlineStr"/>
      <c r="N329" s="18" t="inlineStr"/>
      <c r="O329" s="7">
        <f>IF(OR(G329&lt;&gt;"",H329&lt;&gt;""),1,0) + IF(OR(I329&lt;&gt;"",J329&lt;&gt;""),1,0) + IF(OR(K329&lt;&gt;"",L329&lt;&gt;""),1,0) + IF(OR(M329&lt;&gt;"",N329&lt;&gt;""),1,0)</f>
        <v/>
      </c>
      <c r="P329" s="5">
        <f>IF(O329=4,"✅ Đủ 4 nhiệm vụ",IF(O329&gt;0,"⏳ Đạt "&amp;O329&amp;"/4","❌ Chưa nộp"))</f>
        <v/>
      </c>
    </row>
    <row r="330">
      <c r="A330" s="5" t="n">
        <v>326</v>
      </c>
      <c r="B330" s="5" t="inlineStr">
        <is>
          <t>Tuần 6</t>
        </is>
      </c>
      <c r="C330" s="5" t="inlineStr">
        <is>
          <t>Thứ 4</t>
        </is>
      </c>
      <c r="D330" s="5" t="inlineStr">
        <is>
          <t>14/10/2026</t>
        </is>
      </c>
      <c r="E330" s="5" t="inlineStr">
        <is>
          <t>Ngày 37</t>
        </is>
      </c>
      <c r="F330" s="6" t="inlineStr">
        <is>
          <t>Hoài Học Mãi</t>
        </is>
      </c>
      <c r="G330" s="18" t="inlineStr"/>
      <c r="H330" s="18" t="inlineStr"/>
      <c r="I330" s="18" t="inlineStr"/>
      <c r="J330" s="18" t="inlineStr"/>
      <c r="K330" s="18" t="inlineStr"/>
      <c r="L330" s="18" t="inlineStr"/>
      <c r="M330" s="18" t="inlineStr"/>
      <c r="N330" s="18" t="inlineStr"/>
      <c r="O330" s="7">
        <f>IF(OR(G330&lt;&gt;"",H330&lt;&gt;""),1,0) + IF(OR(I330&lt;&gt;"",J330&lt;&gt;""),1,0) + IF(OR(K330&lt;&gt;"",L330&lt;&gt;""),1,0) + IF(OR(M330&lt;&gt;"",N330&lt;&gt;""),1,0)</f>
        <v/>
      </c>
      <c r="P330" s="5">
        <f>IF(O330=4,"✅ Đủ 4 nhiệm vụ",IF(O330&gt;0,"⏳ Đạt "&amp;O330&amp;"/4","❌ Chưa nộp"))</f>
        <v/>
      </c>
    </row>
    <row r="331">
      <c r="A331" s="5" t="n">
        <v>327</v>
      </c>
      <c r="B331" s="5" t="inlineStr">
        <is>
          <t>Tuần 6</t>
        </is>
      </c>
      <c r="C331" s="5" t="inlineStr">
        <is>
          <t>Thứ 4</t>
        </is>
      </c>
      <c r="D331" s="5" t="inlineStr">
        <is>
          <t>14/10/2026</t>
        </is>
      </c>
      <c r="E331" s="5" t="inlineStr">
        <is>
          <t>Ngày 37</t>
        </is>
      </c>
      <c r="F331" s="6" t="inlineStr">
        <is>
          <t>Lambee</t>
        </is>
      </c>
      <c r="G331" s="18" t="inlineStr"/>
      <c r="H331" s="18" t="inlineStr"/>
      <c r="I331" s="18" t="inlineStr"/>
      <c r="J331" s="18" t="inlineStr"/>
      <c r="K331" s="18" t="inlineStr"/>
      <c r="L331" s="18" t="inlineStr"/>
      <c r="M331" s="18" t="inlineStr"/>
      <c r="N331" s="18" t="inlineStr"/>
      <c r="O331" s="7">
        <f>IF(OR(G331&lt;&gt;"",H331&lt;&gt;""),1,0) + IF(OR(I331&lt;&gt;"",J331&lt;&gt;""),1,0) + IF(OR(K331&lt;&gt;"",L331&lt;&gt;""),1,0) + IF(OR(M331&lt;&gt;"",N331&lt;&gt;""),1,0)</f>
        <v/>
      </c>
      <c r="P331" s="5">
        <f>IF(O331=4,"✅ Đủ 4 nhiệm vụ",IF(O331&gt;0,"⏳ Đạt "&amp;O331&amp;"/4","❌ Chưa nộp"))</f>
        <v/>
      </c>
    </row>
    <row r="332">
      <c r="A332" s="5" t="n">
        <v>328</v>
      </c>
      <c r="B332" s="5" t="inlineStr">
        <is>
          <t>Tuần 6</t>
        </is>
      </c>
      <c r="C332" s="5" t="inlineStr">
        <is>
          <t>Thứ 4</t>
        </is>
      </c>
      <c r="D332" s="5" t="inlineStr">
        <is>
          <t>14/10/2026</t>
        </is>
      </c>
      <c r="E332" s="5" t="inlineStr">
        <is>
          <t>Ngày 37</t>
        </is>
      </c>
      <c r="F332" s="6" t="inlineStr">
        <is>
          <t>Nhung Hoàng</t>
        </is>
      </c>
      <c r="G332" s="18" t="inlineStr"/>
      <c r="H332" s="18" t="inlineStr"/>
      <c r="I332" s="18" t="inlineStr"/>
      <c r="J332" s="18" t="inlineStr"/>
      <c r="K332" s="18" t="inlineStr"/>
      <c r="L332" s="18" t="inlineStr"/>
      <c r="M332" s="18" t="inlineStr"/>
      <c r="N332" s="18" t="inlineStr"/>
      <c r="O332" s="7">
        <f>IF(OR(G332&lt;&gt;"",H332&lt;&gt;""),1,0) + IF(OR(I332&lt;&gt;"",J332&lt;&gt;""),1,0) + IF(OR(K332&lt;&gt;"",L332&lt;&gt;""),1,0) + IF(OR(M332&lt;&gt;"",N332&lt;&gt;""),1,0)</f>
        <v/>
      </c>
      <c r="P332" s="5">
        <f>IF(O332=4,"✅ Đủ 4 nhiệm vụ",IF(O332&gt;0,"⏳ Đạt "&amp;O332&amp;"/4","❌ Chưa nộp"))</f>
        <v/>
      </c>
    </row>
    <row r="333">
      <c r="A333" s="5" t="n">
        <v>329</v>
      </c>
      <c r="B333" s="5" t="inlineStr">
        <is>
          <t>Tuần 6</t>
        </is>
      </c>
      <c r="C333" s="5" t="inlineStr">
        <is>
          <t>Thứ 4</t>
        </is>
      </c>
      <c r="D333" s="5" t="inlineStr">
        <is>
          <t>14/10/2026</t>
        </is>
      </c>
      <c r="E333" s="5" t="inlineStr">
        <is>
          <t>Ngày 37</t>
        </is>
      </c>
      <c r="F333" s="6" t="inlineStr">
        <is>
          <t>Quỳnh Thu</t>
        </is>
      </c>
      <c r="G333" s="18" t="inlineStr"/>
      <c r="H333" s="18" t="inlineStr"/>
      <c r="I333" s="18" t="inlineStr"/>
      <c r="J333" s="18" t="inlineStr"/>
      <c r="K333" s="18" t="inlineStr"/>
      <c r="L333" s="18" t="inlineStr"/>
      <c r="M333" s="18" t="inlineStr"/>
      <c r="N333" s="18" t="inlineStr"/>
      <c r="O333" s="7">
        <f>IF(OR(G333&lt;&gt;"",H333&lt;&gt;""),1,0) + IF(OR(I333&lt;&gt;"",J333&lt;&gt;""),1,0) + IF(OR(K333&lt;&gt;"",L333&lt;&gt;""),1,0) + IF(OR(M333&lt;&gt;"",N333&lt;&gt;""),1,0)</f>
        <v/>
      </c>
      <c r="P333" s="5">
        <f>IF(O333=4,"✅ Đủ 4 nhiệm vụ",IF(O333&gt;0,"⏳ Đạt "&amp;O333&amp;"/4","❌ Chưa nộp"))</f>
        <v/>
      </c>
    </row>
    <row r="334">
      <c r="A334" s="5" t="n">
        <v>330</v>
      </c>
      <c r="B334" s="5" t="inlineStr">
        <is>
          <t>Tuần 6</t>
        </is>
      </c>
      <c r="C334" s="5" t="inlineStr">
        <is>
          <t>Thứ 4</t>
        </is>
      </c>
      <c r="D334" s="5" t="inlineStr">
        <is>
          <t>14/10/2026</t>
        </is>
      </c>
      <c r="E334" s="5" t="inlineStr">
        <is>
          <t>Ngày 37</t>
        </is>
      </c>
      <c r="F334" s="6" t="inlineStr">
        <is>
          <t>TanAnh Pham</t>
        </is>
      </c>
      <c r="G334" s="18" t="inlineStr"/>
      <c r="H334" s="18" t="inlineStr"/>
      <c r="I334" s="18" t="inlineStr"/>
      <c r="J334" s="18" t="inlineStr"/>
      <c r="K334" s="18" t="inlineStr"/>
      <c r="L334" s="18" t="inlineStr"/>
      <c r="M334" s="18" t="inlineStr"/>
      <c r="N334" s="18" t="inlineStr"/>
      <c r="O334" s="7">
        <f>IF(OR(G334&lt;&gt;"",H334&lt;&gt;""),1,0) + IF(OR(I334&lt;&gt;"",J334&lt;&gt;""),1,0) + IF(OR(K334&lt;&gt;"",L334&lt;&gt;""),1,0) + IF(OR(M334&lt;&gt;"",N334&lt;&gt;""),1,0)</f>
        <v/>
      </c>
      <c r="P334" s="5">
        <f>IF(O334=4,"✅ Đủ 4 nhiệm vụ",IF(O334&gt;0,"⏳ Đạt "&amp;O334&amp;"/4","❌ Chưa nộp"))</f>
        <v/>
      </c>
    </row>
    <row r="335">
      <c r="A335" s="5" t="n">
        <v>331</v>
      </c>
      <c r="B335" s="5" t="inlineStr">
        <is>
          <t>Tuần 6</t>
        </is>
      </c>
      <c r="C335" s="5" t="inlineStr">
        <is>
          <t>Thứ 4</t>
        </is>
      </c>
      <c r="D335" s="5" t="inlineStr">
        <is>
          <t>14/10/2026</t>
        </is>
      </c>
      <c r="E335" s="5" t="inlineStr">
        <is>
          <t>Ngày 37</t>
        </is>
      </c>
      <c r="F335" s="6" t="inlineStr">
        <is>
          <t>Thảo Collins Edu</t>
        </is>
      </c>
      <c r="G335" s="18" t="inlineStr"/>
      <c r="H335" s="18" t="inlineStr"/>
      <c r="I335" s="18" t="inlineStr"/>
      <c r="J335" s="18" t="inlineStr"/>
      <c r="K335" s="18" t="inlineStr"/>
      <c r="L335" s="18" t="inlineStr"/>
      <c r="M335" s="18" t="inlineStr"/>
      <c r="N335" s="18" t="inlineStr"/>
      <c r="O335" s="7">
        <f>IF(OR(G335&lt;&gt;"",H335&lt;&gt;""),1,0) + IF(OR(I335&lt;&gt;"",J335&lt;&gt;""),1,0) + IF(OR(K335&lt;&gt;"",L335&lt;&gt;""),1,0) + IF(OR(M335&lt;&gt;"",N335&lt;&gt;""),1,0)</f>
        <v/>
      </c>
      <c r="P335" s="5">
        <f>IF(O335=4,"✅ Đủ 4 nhiệm vụ",IF(O335&gt;0,"⏳ Đạt "&amp;O335&amp;"/4","❌ Chưa nộp"))</f>
        <v/>
      </c>
    </row>
    <row r="336">
      <c r="A336" s="5" t="n">
        <v>332</v>
      </c>
      <c r="B336" s="5" t="inlineStr">
        <is>
          <t>Tuần 6</t>
        </is>
      </c>
      <c r="C336" s="5" t="inlineStr">
        <is>
          <t>Thứ 4</t>
        </is>
      </c>
      <c r="D336" s="5" t="inlineStr">
        <is>
          <t>14/10/2026</t>
        </is>
      </c>
      <c r="E336" s="5" t="inlineStr">
        <is>
          <t>Ngày 37</t>
        </is>
      </c>
      <c r="F336" s="6" t="inlineStr">
        <is>
          <t>Trần Quế Lam</t>
        </is>
      </c>
      <c r="G336" s="18" t="inlineStr"/>
      <c r="H336" s="18" t="inlineStr"/>
      <c r="I336" s="18" t="inlineStr"/>
      <c r="J336" s="18" t="inlineStr"/>
      <c r="K336" s="18" t="inlineStr"/>
      <c r="L336" s="18" t="inlineStr"/>
      <c r="M336" s="18" t="inlineStr"/>
      <c r="N336" s="18" t="inlineStr"/>
      <c r="O336" s="7">
        <f>IF(OR(G336&lt;&gt;"",H336&lt;&gt;""),1,0) + IF(OR(I336&lt;&gt;"",J336&lt;&gt;""),1,0) + IF(OR(K336&lt;&gt;"",L336&lt;&gt;""),1,0) + IF(OR(M336&lt;&gt;"",N336&lt;&gt;""),1,0)</f>
        <v/>
      </c>
      <c r="P336" s="5">
        <f>IF(O336=4,"✅ Đủ 4 nhiệm vụ",IF(O336&gt;0,"⏳ Đạt "&amp;O336&amp;"/4","❌ Chưa nộp"))</f>
        <v/>
      </c>
    </row>
    <row r="337">
      <c r="A337" s="5" t="n">
        <v>333</v>
      </c>
      <c r="B337" s="5" t="inlineStr">
        <is>
          <t>Tuần 6</t>
        </is>
      </c>
      <c r="C337" s="5" t="inlineStr">
        <is>
          <t>Thứ 4</t>
        </is>
      </c>
      <c r="D337" s="5" t="inlineStr">
        <is>
          <t>14/10/2026</t>
        </is>
      </c>
      <c r="E337" s="5" t="inlineStr">
        <is>
          <t>Ngày 37</t>
        </is>
      </c>
      <c r="F337" s="6" t="inlineStr">
        <is>
          <t>Phạm Huyền</t>
        </is>
      </c>
      <c r="G337" s="18" t="inlineStr"/>
      <c r="H337" s="18" t="inlineStr"/>
      <c r="I337" s="18" t="inlineStr"/>
      <c r="J337" s="18" t="inlineStr"/>
      <c r="K337" s="18" t="inlineStr"/>
      <c r="L337" s="18" t="inlineStr"/>
      <c r="M337" s="18" t="inlineStr"/>
      <c r="N337" s="18" t="inlineStr"/>
      <c r="O337" s="7">
        <f>IF(OR(G337&lt;&gt;"",H337&lt;&gt;""),1,0) + IF(OR(I337&lt;&gt;"",J337&lt;&gt;""),1,0) + IF(OR(K337&lt;&gt;"",L337&lt;&gt;""),1,0) + IF(OR(M337&lt;&gt;"",N337&lt;&gt;""),1,0)</f>
        <v/>
      </c>
      <c r="P337" s="5">
        <f>IF(O337=4,"✅ Đủ 4 nhiệm vụ",IF(O337&gt;0,"⏳ Đạt "&amp;O337&amp;"/4","❌ Chưa nộp"))</f>
        <v/>
      </c>
    </row>
    <row r="338">
      <c r="A338" s="9" t="n">
        <v>334</v>
      </c>
      <c r="B338" s="9" t="inlineStr">
        <is>
          <t>Tuần 6</t>
        </is>
      </c>
      <c r="C338" s="9" t="inlineStr">
        <is>
          <t>Thứ 5</t>
        </is>
      </c>
      <c r="D338" s="9" t="inlineStr">
        <is>
          <t>15/10/2026</t>
        </is>
      </c>
      <c r="E338" s="9" t="inlineStr">
        <is>
          <t>Ngày 38</t>
        </is>
      </c>
      <c r="F338" s="10" t="inlineStr">
        <is>
          <t>Nancy</t>
        </is>
      </c>
      <c r="G338" s="19" t="inlineStr"/>
      <c r="H338" s="19" t="inlineStr"/>
      <c r="I338" s="19" t="inlineStr"/>
      <c r="J338" s="19" t="inlineStr"/>
      <c r="K338" s="19" t="inlineStr"/>
      <c r="L338" s="19" t="inlineStr"/>
      <c r="M338" s="19" t="inlineStr"/>
      <c r="N338" s="19" t="inlineStr"/>
      <c r="O338" s="11">
        <f>IF(OR(G338&lt;&gt;"",H338&lt;&gt;""),1,0) + IF(OR(I338&lt;&gt;"",J338&lt;&gt;""),1,0) + IF(OR(K338&lt;&gt;"",L338&lt;&gt;""),1,0) + IF(OR(M338&lt;&gt;"",N338&lt;&gt;""),1,0)</f>
        <v/>
      </c>
      <c r="P338" s="9">
        <f>IF(O338=4,"✅ Đủ 4 nhiệm vụ",IF(O338&gt;0,"⏳ Đạt "&amp;O338&amp;"/4","❌ Chưa nộp"))</f>
        <v/>
      </c>
    </row>
    <row r="339">
      <c r="A339" s="9" t="n">
        <v>335</v>
      </c>
      <c r="B339" s="9" t="inlineStr">
        <is>
          <t>Tuần 6</t>
        </is>
      </c>
      <c r="C339" s="9" t="inlineStr">
        <is>
          <t>Thứ 5</t>
        </is>
      </c>
      <c r="D339" s="9" t="inlineStr">
        <is>
          <t>15/10/2026</t>
        </is>
      </c>
      <c r="E339" s="9" t="inlineStr">
        <is>
          <t>Ngày 38</t>
        </is>
      </c>
      <c r="F339" s="10" t="inlineStr">
        <is>
          <t>Hoài Học Mãi</t>
        </is>
      </c>
      <c r="G339" s="19" t="inlineStr"/>
      <c r="H339" s="19" t="inlineStr"/>
      <c r="I339" s="19" t="inlineStr"/>
      <c r="J339" s="19" t="inlineStr"/>
      <c r="K339" s="19" t="inlineStr"/>
      <c r="L339" s="19" t="inlineStr"/>
      <c r="M339" s="19" t="inlineStr"/>
      <c r="N339" s="19" t="inlineStr"/>
      <c r="O339" s="11">
        <f>IF(OR(G339&lt;&gt;"",H339&lt;&gt;""),1,0) + IF(OR(I339&lt;&gt;"",J339&lt;&gt;""),1,0) + IF(OR(K339&lt;&gt;"",L339&lt;&gt;""),1,0) + IF(OR(M339&lt;&gt;"",N339&lt;&gt;""),1,0)</f>
        <v/>
      </c>
      <c r="P339" s="9">
        <f>IF(O339=4,"✅ Đủ 4 nhiệm vụ",IF(O339&gt;0,"⏳ Đạt "&amp;O339&amp;"/4","❌ Chưa nộp"))</f>
        <v/>
      </c>
    </row>
    <row r="340">
      <c r="A340" s="9" t="n">
        <v>336</v>
      </c>
      <c r="B340" s="9" t="inlineStr">
        <is>
          <t>Tuần 6</t>
        </is>
      </c>
      <c r="C340" s="9" t="inlineStr">
        <is>
          <t>Thứ 5</t>
        </is>
      </c>
      <c r="D340" s="9" t="inlineStr">
        <is>
          <t>15/10/2026</t>
        </is>
      </c>
      <c r="E340" s="9" t="inlineStr">
        <is>
          <t>Ngày 38</t>
        </is>
      </c>
      <c r="F340" s="10" t="inlineStr">
        <is>
          <t>Lambee</t>
        </is>
      </c>
      <c r="G340" s="19" t="inlineStr"/>
      <c r="H340" s="19" t="inlineStr"/>
      <c r="I340" s="19" t="inlineStr"/>
      <c r="J340" s="19" t="inlineStr"/>
      <c r="K340" s="19" t="inlineStr"/>
      <c r="L340" s="19" t="inlineStr"/>
      <c r="M340" s="19" t="inlineStr"/>
      <c r="N340" s="19" t="inlineStr"/>
      <c r="O340" s="11">
        <f>IF(OR(G340&lt;&gt;"",H340&lt;&gt;""),1,0) + IF(OR(I340&lt;&gt;"",J340&lt;&gt;""),1,0) + IF(OR(K340&lt;&gt;"",L340&lt;&gt;""),1,0) + IF(OR(M340&lt;&gt;"",N340&lt;&gt;""),1,0)</f>
        <v/>
      </c>
      <c r="P340" s="9">
        <f>IF(O340=4,"✅ Đủ 4 nhiệm vụ",IF(O340&gt;0,"⏳ Đạt "&amp;O340&amp;"/4","❌ Chưa nộp"))</f>
        <v/>
      </c>
    </row>
    <row r="341">
      <c r="A341" s="9" t="n">
        <v>337</v>
      </c>
      <c r="B341" s="9" t="inlineStr">
        <is>
          <t>Tuần 6</t>
        </is>
      </c>
      <c r="C341" s="9" t="inlineStr">
        <is>
          <t>Thứ 5</t>
        </is>
      </c>
      <c r="D341" s="9" t="inlineStr">
        <is>
          <t>15/10/2026</t>
        </is>
      </c>
      <c r="E341" s="9" t="inlineStr">
        <is>
          <t>Ngày 38</t>
        </is>
      </c>
      <c r="F341" s="10" t="inlineStr">
        <is>
          <t>Nhung Hoàng</t>
        </is>
      </c>
      <c r="G341" s="19" t="inlineStr"/>
      <c r="H341" s="19" t="inlineStr"/>
      <c r="I341" s="19" t="inlineStr"/>
      <c r="J341" s="19" t="inlineStr"/>
      <c r="K341" s="19" t="inlineStr"/>
      <c r="L341" s="19" t="inlineStr"/>
      <c r="M341" s="19" t="inlineStr"/>
      <c r="N341" s="19" t="inlineStr"/>
      <c r="O341" s="11">
        <f>IF(OR(G341&lt;&gt;"",H341&lt;&gt;""),1,0) + IF(OR(I341&lt;&gt;"",J341&lt;&gt;""),1,0) + IF(OR(K341&lt;&gt;"",L341&lt;&gt;""),1,0) + IF(OR(M341&lt;&gt;"",N341&lt;&gt;""),1,0)</f>
        <v/>
      </c>
      <c r="P341" s="9">
        <f>IF(O341=4,"✅ Đủ 4 nhiệm vụ",IF(O341&gt;0,"⏳ Đạt "&amp;O341&amp;"/4","❌ Chưa nộp"))</f>
        <v/>
      </c>
    </row>
    <row r="342">
      <c r="A342" s="9" t="n">
        <v>338</v>
      </c>
      <c r="B342" s="9" t="inlineStr">
        <is>
          <t>Tuần 6</t>
        </is>
      </c>
      <c r="C342" s="9" t="inlineStr">
        <is>
          <t>Thứ 5</t>
        </is>
      </c>
      <c r="D342" s="9" t="inlineStr">
        <is>
          <t>15/10/2026</t>
        </is>
      </c>
      <c r="E342" s="9" t="inlineStr">
        <is>
          <t>Ngày 38</t>
        </is>
      </c>
      <c r="F342" s="10" t="inlineStr">
        <is>
          <t>Quỳnh Thu</t>
        </is>
      </c>
      <c r="G342" s="19" t="inlineStr"/>
      <c r="H342" s="19" t="inlineStr"/>
      <c r="I342" s="19" t="inlineStr"/>
      <c r="J342" s="19" t="inlineStr"/>
      <c r="K342" s="19" t="inlineStr"/>
      <c r="L342" s="19" t="inlineStr"/>
      <c r="M342" s="19" t="inlineStr"/>
      <c r="N342" s="19" t="inlineStr"/>
      <c r="O342" s="11">
        <f>IF(OR(G342&lt;&gt;"",H342&lt;&gt;""),1,0) + IF(OR(I342&lt;&gt;"",J342&lt;&gt;""),1,0) + IF(OR(K342&lt;&gt;"",L342&lt;&gt;""),1,0) + IF(OR(M342&lt;&gt;"",N342&lt;&gt;""),1,0)</f>
        <v/>
      </c>
      <c r="P342" s="9">
        <f>IF(O342=4,"✅ Đủ 4 nhiệm vụ",IF(O342&gt;0,"⏳ Đạt "&amp;O342&amp;"/4","❌ Chưa nộp"))</f>
        <v/>
      </c>
    </row>
    <row r="343">
      <c r="A343" s="9" t="n">
        <v>339</v>
      </c>
      <c r="B343" s="9" t="inlineStr">
        <is>
          <t>Tuần 6</t>
        </is>
      </c>
      <c r="C343" s="9" t="inlineStr">
        <is>
          <t>Thứ 5</t>
        </is>
      </c>
      <c r="D343" s="9" t="inlineStr">
        <is>
          <t>15/10/2026</t>
        </is>
      </c>
      <c r="E343" s="9" t="inlineStr">
        <is>
          <t>Ngày 38</t>
        </is>
      </c>
      <c r="F343" s="10" t="inlineStr">
        <is>
          <t>TanAnh Pham</t>
        </is>
      </c>
      <c r="G343" s="19" t="inlineStr"/>
      <c r="H343" s="19" t="inlineStr"/>
      <c r="I343" s="19" t="inlineStr"/>
      <c r="J343" s="19" t="inlineStr"/>
      <c r="K343" s="19" t="inlineStr"/>
      <c r="L343" s="19" t="inlineStr"/>
      <c r="M343" s="19" t="inlineStr"/>
      <c r="N343" s="19" t="inlineStr"/>
      <c r="O343" s="11">
        <f>IF(OR(G343&lt;&gt;"",H343&lt;&gt;""),1,0) + IF(OR(I343&lt;&gt;"",J343&lt;&gt;""),1,0) + IF(OR(K343&lt;&gt;"",L343&lt;&gt;""),1,0) + IF(OR(M343&lt;&gt;"",N343&lt;&gt;""),1,0)</f>
        <v/>
      </c>
      <c r="P343" s="9">
        <f>IF(O343=4,"✅ Đủ 4 nhiệm vụ",IF(O343&gt;0,"⏳ Đạt "&amp;O343&amp;"/4","❌ Chưa nộp"))</f>
        <v/>
      </c>
    </row>
    <row r="344">
      <c r="A344" s="9" t="n">
        <v>340</v>
      </c>
      <c r="B344" s="9" t="inlineStr">
        <is>
          <t>Tuần 6</t>
        </is>
      </c>
      <c r="C344" s="9" t="inlineStr">
        <is>
          <t>Thứ 5</t>
        </is>
      </c>
      <c r="D344" s="9" t="inlineStr">
        <is>
          <t>15/10/2026</t>
        </is>
      </c>
      <c r="E344" s="9" t="inlineStr">
        <is>
          <t>Ngày 38</t>
        </is>
      </c>
      <c r="F344" s="10" t="inlineStr">
        <is>
          <t>Thảo Collins Edu</t>
        </is>
      </c>
      <c r="G344" s="19" t="inlineStr"/>
      <c r="H344" s="19" t="inlineStr"/>
      <c r="I344" s="19" t="inlineStr"/>
      <c r="J344" s="19" t="inlineStr"/>
      <c r="K344" s="19" t="inlineStr"/>
      <c r="L344" s="19" t="inlineStr"/>
      <c r="M344" s="19" t="inlineStr"/>
      <c r="N344" s="19" t="inlineStr"/>
      <c r="O344" s="11">
        <f>IF(OR(G344&lt;&gt;"",H344&lt;&gt;""),1,0) + IF(OR(I344&lt;&gt;"",J344&lt;&gt;""),1,0) + IF(OR(K344&lt;&gt;"",L344&lt;&gt;""),1,0) + IF(OR(M344&lt;&gt;"",N344&lt;&gt;""),1,0)</f>
        <v/>
      </c>
      <c r="P344" s="9">
        <f>IF(O344=4,"✅ Đủ 4 nhiệm vụ",IF(O344&gt;0,"⏳ Đạt "&amp;O344&amp;"/4","❌ Chưa nộp"))</f>
        <v/>
      </c>
    </row>
    <row r="345">
      <c r="A345" s="9" t="n">
        <v>341</v>
      </c>
      <c r="B345" s="9" t="inlineStr">
        <is>
          <t>Tuần 6</t>
        </is>
      </c>
      <c r="C345" s="9" t="inlineStr">
        <is>
          <t>Thứ 5</t>
        </is>
      </c>
      <c r="D345" s="9" t="inlineStr">
        <is>
          <t>15/10/2026</t>
        </is>
      </c>
      <c r="E345" s="9" t="inlineStr">
        <is>
          <t>Ngày 38</t>
        </is>
      </c>
      <c r="F345" s="10" t="inlineStr">
        <is>
          <t>Trần Quế Lam</t>
        </is>
      </c>
      <c r="G345" s="19" t="inlineStr"/>
      <c r="H345" s="19" t="inlineStr"/>
      <c r="I345" s="19" t="inlineStr"/>
      <c r="J345" s="19" t="inlineStr"/>
      <c r="K345" s="19" t="inlineStr"/>
      <c r="L345" s="19" t="inlineStr"/>
      <c r="M345" s="19" t="inlineStr"/>
      <c r="N345" s="19" t="inlineStr"/>
      <c r="O345" s="11">
        <f>IF(OR(G345&lt;&gt;"",H345&lt;&gt;""),1,0) + IF(OR(I345&lt;&gt;"",J345&lt;&gt;""),1,0) + IF(OR(K345&lt;&gt;"",L345&lt;&gt;""),1,0) + IF(OR(M345&lt;&gt;"",N345&lt;&gt;""),1,0)</f>
        <v/>
      </c>
      <c r="P345" s="9">
        <f>IF(O345=4,"✅ Đủ 4 nhiệm vụ",IF(O345&gt;0,"⏳ Đạt "&amp;O345&amp;"/4","❌ Chưa nộp"))</f>
        <v/>
      </c>
    </row>
    <row r="346">
      <c r="A346" s="9" t="n">
        <v>342</v>
      </c>
      <c r="B346" s="9" t="inlineStr">
        <is>
          <t>Tuần 6</t>
        </is>
      </c>
      <c r="C346" s="9" t="inlineStr">
        <is>
          <t>Thứ 5</t>
        </is>
      </c>
      <c r="D346" s="9" t="inlineStr">
        <is>
          <t>15/10/2026</t>
        </is>
      </c>
      <c r="E346" s="9" t="inlineStr">
        <is>
          <t>Ngày 38</t>
        </is>
      </c>
      <c r="F346" s="10" t="inlineStr">
        <is>
          <t>Phạm Huyền</t>
        </is>
      </c>
      <c r="G346" s="19" t="inlineStr"/>
      <c r="H346" s="19" t="inlineStr"/>
      <c r="I346" s="19" t="inlineStr"/>
      <c r="J346" s="19" t="inlineStr"/>
      <c r="K346" s="19" t="inlineStr"/>
      <c r="L346" s="19" t="inlineStr"/>
      <c r="M346" s="19" t="inlineStr"/>
      <c r="N346" s="19" t="inlineStr"/>
      <c r="O346" s="11">
        <f>IF(OR(G346&lt;&gt;"",H346&lt;&gt;""),1,0) + IF(OR(I346&lt;&gt;"",J346&lt;&gt;""),1,0) + IF(OR(K346&lt;&gt;"",L346&lt;&gt;""),1,0) + IF(OR(M346&lt;&gt;"",N346&lt;&gt;""),1,0)</f>
        <v/>
      </c>
      <c r="P346" s="9">
        <f>IF(O346=4,"✅ Đủ 4 nhiệm vụ",IF(O346&gt;0,"⏳ Đạt "&amp;O346&amp;"/4","❌ Chưa nộp"))</f>
        <v/>
      </c>
    </row>
    <row r="347">
      <c r="A347" s="5" t="n">
        <v>343</v>
      </c>
      <c r="B347" s="5" t="inlineStr">
        <is>
          <t>Tuần 6</t>
        </is>
      </c>
      <c r="C347" s="5" t="inlineStr">
        <is>
          <t>Thứ 6</t>
        </is>
      </c>
      <c r="D347" s="5" t="inlineStr">
        <is>
          <t>16/10/2026</t>
        </is>
      </c>
      <c r="E347" s="5" t="inlineStr">
        <is>
          <t>Ngày 39</t>
        </is>
      </c>
      <c r="F347" s="6" t="inlineStr">
        <is>
          <t>Nancy</t>
        </is>
      </c>
      <c r="G347" s="18" t="inlineStr"/>
      <c r="H347" s="18" t="inlineStr"/>
      <c r="I347" s="18" t="inlineStr"/>
      <c r="J347" s="18" t="inlineStr"/>
      <c r="K347" s="18" t="inlineStr"/>
      <c r="L347" s="18" t="inlineStr"/>
      <c r="M347" s="18" t="inlineStr"/>
      <c r="N347" s="18" t="inlineStr"/>
      <c r="O347" s="7">
        <f>IF(OR(G347&lt;&gt;"",H347&lt;&gt;""),1,0) + IF(OR(I347&lt;&gt;"",J347&lt;&gt;""),1,0) + IF(OR(K347&lt;&gt;"",L347&lt;&gt;""),1,0) + IF(OR(M347&lt;&gt;"",N347&lt;&gt;""),1,0)</f>
        <v/>
      </c>
      <c r="P347" s="5">
        <f>IF(O347=4,"✅ Đủ 4 nhiệm vụ",IF(O347&gt;0,"⏳ Đạt "&amp;O347&amp;"/4","❌ Chưa nộp"))</f>
        <v/>
      </c>
    </row>
    <row r="348">
      <c r="A348" s="5" t="n">
        <v>344</v>
      </c>
      <c r="B348" s="5" t="inlineStr">
        <is>
          <t>Tuần 6</t>
        </is>
      </c>
      <c r="C348" s="5" t="inlineStr">
        <is>
          <t>Thứ 6</t>
        </is>
      </c>
      <c r="D348" s="5" t="inlineStr">
        <is>
          <t>16/10/2026</t>
        </is>
      </c>
      <c r="E348" s="5" t="inlineStr">
        <is>
          <t>Ngày 39</t>
        </is>
      </c>
      <c r="F348" s="6" t="inlineStr">
        <is>
          <t>Hoài Học Mãi</t>
        </is>
      </c>
      <c r="G348" s="18" t="inlineStr"/>
      <c r="H348" s="18" t="inlineStr"/>
      <c r="I348" s="18" t="inlineStr"/>
      <c r="J348" s="18" t="inlineStr"/>
      <c r="K348" s="18" t="inlineStr"/>
      <c r="L348" s="18" t="inlineStr"/>
      <c r="M348" s="18" t="inlineStr"/>
      <c r="N348" s="18" t="inlineStr"/>
      <c r="O348" s="7">
        <f>IF(OR(G348&lt;&gt;"",H348&lt;&gt;""),1,0) + IF(OR(I348&lt;&gt;"",J348&lt;&gt;""),1,0) + IF(OR(K348&lt;&gt;"",L348&lt;&gt;""),1,0) + IF(OR(M348&lt;&gt;"",N348&lt;&gt;""),1,0)</f>
        <v/>
      </c>
      <c r="P348" s="5">
        <f>IF(O348=4,"✅ Đủ 4 nhiệm vụ",IF(O348&gt;0,"⏳ Đạt "&amp;O348&amp;"/4","❌ Chưa nộp"))</f>
        <v/>
      </c>
    </row>
    <row r="349">
      <c r="A349" s="5" t="n">
        <v>345</v>
      </c>
      <c r="B349" s="5" t="inlineStr">
        <is>
          <t>Tuần 6</t>
        </is>
      </c>
      <c r="C349" s="5" t="inlineStr">
        <is>
          <t>Thứ 6</t>
        </is>
      </c>
      <c r="D349" s="5" t="inlineStr">
        <is>
          <t>16/10/2026</t>
        </is>
      </c>
      <c r="E349" s="5" t="inlineStr">
        <is>
          <t>Ngày 39</t>
        </is>
      </c>
      <c r="F349" s="6" t="inlineStr">
        <is>
          <t>Lambee</t>
        </is>
      </c>
      <c r="G349" s="18" t="inlineStr"/>
      <c r="H349" s="18" t="inlineStr"/>
      <c r="I349" s="18" t="inlineStr"/>
      <c r="J349" s="18" t="inlineStr"/>
      <c r="K349" s="18" t="inlineStr"/>
      <c r="L349" s="18" t="inlineStr"/>
      <c r="M349" s="18" t="inlineStr"/>
      <c r="N349" s="18" t="inlineStr"/>
      <c r="O349" s="7">
        <f>IF(OR(G349&lt;&gt;"",H349&lt;&gt;""),1,0) + IF(OR(I349&lt;&gt;"",J349&lt;&gt;""),1,0) + IF(OR(K349&lt;&gt;"",L349&lt;&gt;""),1,0) + IF(OR(M349&lt;&gt;"",N349&lt;&gt;""),1,0)</f>
        <v/>
      </c>
      <c r="P349" s="5">
        <f>IF(O349=4,"✅ Đủ 4 nhiệm vụ",IF(O349&gt;0,"⏳ Đạt "&amp;O349&amp;"/4","❌ Chưa nộp"))</f>
        <v/>
      </c>
    </row>
    <row r="350">
      <c r="A350" s="5" t="n">
        <v>346</v>
      </c>
      <c r="B350" s="5" t="inlineStr">
        <is>
          <t>Tuần 6</t>
        </is>
      </c>
      <c r="C350" s="5" t="inlineStr">
        <is>
          <t>Thứ 6</t>
        </is>
      </c>
      <c r="D350" s="5" t="inlineStr">
        <is>
          <t>16/10/2026</t>
        </is>
      </c>
      <c r="E350" s="5" t="inlineStr">
        <is>
          <t>Ngày 39</t>
        </is>
      </c>
      <c r="F350" s="6" t="inlineStr">
        <is>
          <t>Nhung Hoàng</t>
        </is>
      </c>
      <c r="G350" s="18" t="inlineStr"/>
      <c r="H350" s="18" t="inlineStr"/>
      <c r="I350" s="18" t="inlineStr"/>
      <c r="J350" s="18" t="inlineStr"/>
      <c r="K350" s="18" t="inlineStr"/>
      <c r="L350" s="18" t="inlineStr"/>
      <c r="M350" s="18" t="inlineStr"/>
      <c r="N350" s="18" t="inlineStr"/>
      <c r="O350" s="7">
        <f>IF(OR(G350&lt;&gt;"",H350&lt;&gt;""),1,0) + IF(OR(I350&lt;&gt;"",J350&lt;&gt;""),1,0) + IF(OR(K350&lt;&gt;"",L350&lt;&gt;""),1,0) + IF(OR(M350&lt;&gt;"",N350&lt;&gt;""),1,0)</f>
        <v/>
      </c>
      <c r="P350" s="5">
        <f>IF(O350=4,"✅ Đủ 4 nhiệm vụ",IF(O350&gt;0,"⏳ Đạt "&amp;O350&amp;"/4","❌ Chưa nộp"))</f>
        <v/>
      </c>
    </row>
    <row r="351">
      <c r="A351" s="5" t="n">
        <v>347</v>
      </c>
      <c r="B351" s="5" t="inlineStr">
        <is>
          <t>Tuần 6</t>
        </is>
      </c>
      <c r="C351" s="5" t="inlineStr">
        <is>
          <t>Thứ 6</t>
        </is>
      </c>
      <c r="D351" s="5" t="inlineStr">
        <is>
          <t>16/10/2026</t>
        </is>
      </c>
      <c r="E351" s="5" t="inlineStr">
        <is>
          <t>Ngày 39</t>
        </is>
      </c>
      <c r="F351" s="6" t="inlineStr">
        <is>
          <t>Quỳnh Thu</t>
        </is>
      </c>
      <c r="G351" s="18" t="inlineStr"/>
      <c r="H351" s="18" t="inlineStr"/>
      <c r="I351" s="18" t="inlineStr"/>
      <c r="J351" s="18" t="inlineStr"/>
      <c r="K351" s="18" t="inlineStr"/>
      <c r="L351" s="18" t="inlineStr"/>
      <c r="M351" s="18" t="inlineStr"/>
      <c r="N351" s="18" t="inlineStr"/>
      <c r="O351" s="7">
        <f>IF(OR(G351&lt;&gt;"",H351&lt;&gt;""),1,0) + IF(OR(I351&lt;&gt;"",J351&lt;&gt;""),1,0) + IF(OR(K351&lt;&gt;"",L351&lt;&gt;""),1,0) + IF(OR(M351&lt;&gt;"",N351&lt;&gt;""),1,0)</f>
        <v/>
      </c>
      <c r="P351" s="5">
        <f>IF(O351=4,"✅ Đủ 4 nhiệm vụ",IF(O351&gt;0,"⏳ Đạt "&amp;O351&amp;"/4","❌ Chưa nộp"))</f>
        <v/>
      </c>
    </row>
    <row r="352">
      <c r="A352" s="5" t="n">
        <v>348</v>
      </c>
      <c r="B352" s="5" t="inlineStr">
        <is>
          <t>Tuần 6</t>
        </is>
      </c>
      <c r="C352" s="5" t="inlineStr">
        <is>
          <t>Thứ 6</t>
        </is>
      </c>
      <c r="D352" s="5" t="inlineStr">
        <is>
          <t>16/10/2026</t>
        </is>
      </c>
      <c r="E352" s="5" t="inlineStr">
        <is>
          <t>Ngày 39</t>
        </is>
      </c>
      <c r="F352" s="6" t="inlineStr">
        <is>
          <t>TanAnh Pham</t>
        </is>
      </c>
      <c r="G352" s="18" t="inlineStr"/>
      <c r="H352" s="18" t="inlineStr"/>
      <c r="I352" s="18" t="inlineStr"/>
      <c r="J352" s="18" t="inlineStr"/>
      <c r="K352" s="18" t="inlineStr"/>
      <c r="L352" s="18" t="inlineStr"/>
      <c r="M352" s="18" t="inlineStr"/>
      <c r="N352" s="18" t="inlineStr"/>
      <c r="O352" s="7">
        <f>IF(OR(G352&lt;&gt;"",H352&lt;&gt;""),1,0) + IF(OR(I352&lt;&gt;"",J352&lt;&gt;""),1,0) + IF(OR(K352&lt;&gt;"",L352&lt;&gt;""),1,0) + IF(OR(M352&lt;&gt;"",N352&lt;&gt;""),1,0)</f>
        <v/>
      </c>
      <c r="P352" s="5">
        <f>IF(O352=4,"✅ Đủ 4 nhiệm vụ",IF(O352&gt;0,"⏳ Đạt "&amp;O352&amp;"/4","❌ Chưa nộp"))</f>
        <v/>
      </c>
    </row>
    <row r="353">
      <c r="A353" s="5" t="n">
        <v>349</v>
      </c>
      <c r="B353" s="5" t="inlineStr">
        <is>
          <t>Tuần 6</t>
        </is>
      </c>
      <c r="C353" s="5" t="inlineStr">
        <is>
          <t>Thứ 6</t>
        </is>
      </c>
      <c r="D353" s="5" t="inlineStr">
        <is>
          <t>16/10/2026</t>
        </is>
      </c>
      <c r="E353" s="5" t="inlineStr">
        <is>
          <t>Ngày 39</t>
        </is>
      </c>
      <c r="F353" s="6" t="inlineStr">
        <is>
          <t>Thảo Collins Edu</t>
        </is>
      </c>
      <c r="G353" s="18" t="inlineStr"/>
      <c r="H353" s="18" t="inlineStr"/>
      <c r="I353" s="18" t="inlineStr"/>
      <c r="J353" s="18" t="inlineStr"/>
      <c r="K353" s="18" t="inlineStr"/>
      <c r="L353" s="18" t="inlineStr"/>
      <c r="M353" s="18" t="inlineStr"/>
      <c r="N353" s="18" t="inlineStr"/>
      <c r="O353" s="7">
        <f>IF(OR(G353&lt;&gt;"",H353&lt;&gt;""),1,0) + IF(OR(I353&lt;&gt;"",J353&lt;&gt;""),1,0) + IF(OR(K353&lt;&gt;"",L353&lt;&gt;""),1,0) + IF(OR(M353&lt;&gt;"",N353&lt;&gt;""),1,0)</f>
        <v/>
      </c>
      <c r="P353" s="5">
        <f>IF(O353=4,"✅ Đủ 4 nhiệm vụ",IF(O353&gt;0,"⏳ Đạt "&amp;O353&amp;"/4","❌ Chưa nộp"))</f>
        <v/>
      </c>
    </row>
    <row r="354">
      <c r="A354" s="5" t="n">
        <v>350</v>
      </c>
      <c r="B354" s="5" t="inlineStr">
        <is>
          <t>Tuần 6</t>
        </is>
      </c>
      <c r="C354" s="5" t="inlineStr">
        <is>
          <t>Thứ 6</t>
        </is>
      </c>
      <c r="D354" s="5" t="inlineStr">
        <is>
          <t>16/10/2026</t>
        </is>
      </c>
      <c r="E354" s="5" t="inlineStr">
        <is>
          <t>Ngày 39</t>
        </is>
      </c>
      <c r="F354" s="6" t="inlineStr">
        <is>
          <t>Trần Quế Lam</t>
        </is>
      </c>
      <c r="G354" s="18" t="inlineStr"/>
      <c r="H354" s="18" t="inlineStr"/>
      <c r="I354" s="18" t="inlineStr"/>
      <c r="J354" s="18" t="inlineStr"/>
      <c r="K354" s="18" t="inlineStr"/>
      <c r="L354" s="18" t="inlineStr"/>
      <c r="M354" s="18" t="inlineStr"/>
      <c r="N354" s="18" t="inlineStr"/>
      <c r="O354" s="7">
        <f>IF(OR(G354&lt;&gt;"",H354&lt;&gt;""),1,0) + IF(OR(I354&lt;&gt;"",J354&lt;&gt;""),1,0) + IF(OR(K354&lt;&gt;"",L354&lt;&gt;""),1,0) + IF(OR(M354&lt;&gt;"",N354&lt;&gt;""),1,0)</f>
        <v/>
      </c>
      <c r="P354" s="5">
        <f>IF(O354=4,"✅ Đủ 4 nhiệm vụ",IF(O354&gt;0,"⏳ Đạt "&amp;O354&amp;"/4","❌ Chưa nộp"))</f>
        <v/>
      </c>
    </row>
    <row r="355">
      <c r="A355" s="5" t="n">
        <v>351</v>
      </c>
      <c r="B355" s="5" t="inlineStr">
        <is>
          <t>Tuần 6</t>
        </is>
      </c>
      <c r="C355" s="5" t="inlineStr">
        <is>
          <t>Thứ 6</t>
        </is>
      </c>
      <c r="D355" s="5" t="inlineStr">
        <is>
          <t>16/10/2026</t>
        </is>
      </c>
      <c r="E355" s="5" t="inlineStr">
        <is>
          <t>Ngày 39</t>
        </is>
      </c>
      <c r="F355" s="6" t="inlineStr">
        <is>
          <t>Phạm Huyền</t>
        </is>
      </c>
      <c r="G355" s="18" t="inlineStr"/>
      <c r="H355" s="18" t="inlineStr"/>
      <c r="I355" s="18" t="inlineStr"/>
      <c r="J355" s="18" t="inlineStr"/>
      <c r="K355" s="18" t="inlineStr"/>
      <c r="L355" s="18" t="inlineStr"/>
      <c r="M355" s="18" t="inlineStr"/>
      <c r="N355" s="18" t="inlineStr"/>
      <c r="O355" s="7">
        <f>IF(OR(G355&lt;&gt;"",H355&lt;&gt;""),1,0) + IF(OR(I355&lt;&gt;"",J355&lt;&gt;""),1,0) + IF(OR(K355&lt;&gt;"",L355&lt;&gt;""),1,0) + IF(OR(M355&lt;&gt;"",N355&lt;&gt;""),1,0)</f>
        <v/>
      </c>
      <c r="P355" s="5">
        <f>IF(O355=4,"✅ Đủ 4 nhiệm vụ",IF(O355&gt;0,"⏳ Đạt "&amp;O355&amp;"/4","❌ Chưa nộp"))</f>
        <v/>
      </c>
    </row>
    <row r="356">
      <c r="A356" s="9" t="n">
        <v>352</v>
      </c>
      <c r="B356" s="9" t="inlineStr">
        <is>
          <t>Tuần 6</t>
        </is>
      </c>
      <c r="C356" s="9" t="inlineStr">
        <is>
          <t>Thứ 7</t>
        </is>
      </c>
      <c r="D356" s="9" t="inlineStr">
        <is>
          <t>17/10/2026</t>
        </is>
      </c>
      <c r="E356" s="9" t="inlineStr">
        <is>
          <t>Ngày 40</t>
        </is>
      </c>
      <c r="F356" s="10" t="inlineStr">
        <is>
          <t>Nancy</t>
        </is>
      </c>
      <c r="G356" s="19" t="inlineStr"/>
      <c r="H356" s="19" t="inlineStr"/>
      <c r="I356" s="19" t="inlineStr"/>
      <c r="J356" s="19" t="inlineStr"/>
      <c r="K356" s="19" t="inlineStr"/>
      <c r="L356" s="19" t="inlineStr"/>
      <c r="M356" s="19" t="inlineStr"/>
      <c r="N356" s="19" t="inlineStr"/>
      <c r="O356" s="11">
        <f>IF(OR(G356&lt;&gt;"",H356&lt;&gt;""),1,0) + IF(OR(I356&lt;&gt;"",J356&lt;&gt;""),1,0) + IF(OR(K356&lt;&gt;"",L356&lt;&gt;""),1,0) + IF(OR(M356&lt;&gt;"",N356&lt;&gt;""),1,0)</f>
        <v/>
      </c>
      <c r="P356" s="9">
        <f>IF(O356=4,"✅ Đủ 4 nhiệm vụ",IF(O356&gt;0,"⏳ Đạt "&amp;O356&amp;"/4","❌ Chưa nộp"))</f>
        <v/>
      </c>
    </row>
    <row r="357">
      <c r="A357" s="9" t="n">
        <v>353</v>
      </c>
      <c r="B357" s="9" t="inlineStr">
        <is>
          <t>Tuần 6</t>
        </is>
      </c>
      <c r="C357" s="9" t="inlineStr">
        <is>
          <t>Thứ 7</t>
        </is>
      </c>
      <c r="D357" s="9" t="inlineStr">
        <is>
          <t>17/10/2026</t>
        </is>
      </c>
      <c r="E357" s="9" t="inlineStr">
        <is>
          <t>Ngày 40</t>
        </is>
      </c>
      <c r="F357" s="10" t="inlineStr">
        <is>
          <t>Hoài Học Mãi</t>
        </is>
      </c>
      <c r="G357" s="19" t="inlineStr"/>
      <c r="H357" s="19" t="inlineStr"/>
      <c r="I357" s="19" t="inlineStr"/>
      <c r="J357" s="19" t="inlineStr"/>
      <c r="K357" s="19" t="inlineStr"/>
      <c r="L357" s="19" t="inlineStr"/>
      <c r="M357" s="19" t="inlineStr"/>
      <c r="N357" s="19" t="inlineStr"/>
      <c r="O357" s="11">
        <f>IF(OR(G357&lt;&gt;"",H357&lt;&gt;""),1,0) + IF(OR(I357&lt;&gt;"",J357&lt;&gt;""),1,0) + IF(OR(K357&lt;&gt;"",L357&lt;&gt;""),1,0) + IF(OR(M357&lt;&gt;"",N357&lt;&gt;""),1,0)</f>
        <v/>
      </c>
      <c r="P357" s="9">
        <f>IF(O357=4,"✅ Đủ 4 nhiệm vụ",IF(O357&gt;0,"⏳ Đạt "&amp;O357&amp;"/4","❌ Chưa nộp"))</f>
        <v/>
      </c>
    </row>
    <row r="358">
      <c r="A358" s="9" t="n">
        <v>354</v>
      </c>
      <c r="B358" s="9" t="inlineStr">
        <is>
          <t>Tuần 6</t>
        </is>
      </c>
      <c r="C358" s="9" t="inlineStr">
        <is>
          <t>Thứ 7</t>
        </is>
      </c>
      <c r="D358" s="9" t="inlineStr">
        <is>
          <t>17/10/2026</t>
        </is>
      </c>
      <c r="E358" s="9" t="inlineStr">
        <is>
          <t>Ngày 40</t>
        </is>
      </c>
      <c r="F358" s="10" t="inlineStr">
        <is>
          <t>Lambee</t>
        </is>
      </c>
      <c r="G358" s="19" t="inlineStr"/>
      <c r="H358" s="19" t="inlineStr"/>
      <c r="I358" s="19" t="inlineStr"/>
      <c r="J358" s="19" t="inlineStr"/>
      <c r="K358" s="19" t="inlineStr"/>
      <c r="L358" s="19" t="inlineStr"/>
      <c r="M358" s="19" t="inlineStr"/>
      <c r="N358" s="19" t="inlineStr"/>
      <c r="O358" s="11">
        <f>IF(OR(G358&lt;&gt;"",H358&lt;&gt;""),1,0) + IF(OR(I358&lt;&gt;"",J358&lt;&gt;""),1,0) + IF(OR(K358&lt;&gt;"",L358&lt;&gt;""),1,0) + IF(OR(M358&lt;&gt;"",N358&lt;&gt;""),1,0)</f>
        <v/>
      </c>
      <c r="P358" s="9">
        <f>IF(O358=4,"✅ Đủ 4 nhiệm vụ",IF(O358&gt;0,"⏳ Đạt "&amp;O358&amp;"/4","❌ Chưa nộp"))</f>
        <v/>
      </c>
    </row>
    <row r="359">
      <c r="A359" s="9" t="n">
        <v>355</v>
      </c>
      <c r="B359" s="9" t="inlineStr">
        <is>
          <t>Tuần 6</t>
        </is>
      </c>
      <c r="C359" s="9" t="inlineStr">
        <is>
          <t>Thứ 7</t>
        </is>
      </c>
      <c r="D359" s="9" t="inlineStr">
        <is>
          <t>17/10/2026</t>
        </is>
      </c>
      <c r="E359" s="9" t="inlineStr">
        <is>
          <t>Ngày 40</t>
        </is>
      </c>
      <c r="F359" s="10" t="inlineStr">
        <is>
          <t>Nhung Hoàng</t>
        </is>
      </c>
      <c r="G359" s="19" t="inlineStr"/>
      <c r="H359" s="19" t="inlineStr"/>
      <c r="I359" s="19" t="inlineStr"/>
      <c r="J359" s="19" t="inlineStr"/>
      <c r="K359" s="19" t="inlineStr"/>
      <c r="L359" s="19" t="inlineStr"/>
      <c r="M359" s="19" t="inlineStr"/>
      <c r="N359" s="19" t="inlineStr"/>
      <c r="O359" s="11">
        <f>IF(OR(G359&lt;&gt;"",H359&lt;&gt;""),1,0) + IF(OR(I359&lt;&gt;"",J359&lt;&gt;""),1,0) + IF(OR(K359&lt;&gt;"",L359&lt;&gt;""),1,0) + IF(OR(M359&lt;&gt;"",N359&lt;&gt;""),1,0)</f>
        <v/>
      </c>
      <c r="P359" s="9">
        <f>IF(O359=4,"✅ Đủ 4 nhiệm vụ",IF(O359&gt;0,"⏳ Đạt "&amp;O359&amp;"/4","❌ Chưa nộp"))</f>
        <v/>
      </c>
    </row>
    <row r="360">
      <c r="A360" s="9" t="n">
        <v>356</v>
      </c>
      <c r="B360" s="9" t="inlineStr">
        <is>
          <t>Tuần 6</t>
        </is>
      </c>
      <c r="C360" s="9" t="inlineStr">
        <is>
          <t>Thứ 7</t>
        </is>
      </c>
      <c r="D360" s="9" t="inlineStr">
        <is>
          <t>17/10/2026</t>
        </is>
      </c>
      <c r="E360" s="9" t="inlineStr">
        <is>
          <t>Ngày 40</t>
        </is>
      </c>
      <c r="F360" s="10" t="inlineStr">
        <is>
          <t>Quỳnh Thu</t>
        </is>
      </c>
      <c r="G360" s="19" t="inlineStr"/>
      <c r="H360" s="19" t="inlineStr"/>
      <c r="I360" s="19" t="inlineStr"/>
      <c r="J360" s="19" t="inlineStr"/>
      <c r="K360" s="19" t="inlineStr"/>
      <c r="L360" s="19" t="inlineStr"/>
      <c r="M360" s="19" t="inlineStr"/>
      <c r="N360" s="19" t="inlineStr"/>
      <c r="O360" s="11">
        <f>IF(OR(G360&lt;&gt;"",H360&lt;&gt;""),1,0) + IF(OR(I360&lt;&gt;"",J360&lt;&gt;""),1,0) + IF(OR(K360&lt;&gt;"",L360&lt;&gt;""),1,0) + IF(OR(M360&lt;&gt;"",N360&lt;&gt;""),1,0)</f>
        <v/>
      </c>
      <c r="P360" s="9">
        <f>IF(O360=4,"✅ Đủ 4 nhiệm vụ",IF(O360&gt;0,"⏳ Đạt "&amp;O360&amp;"/4","❌ Chưa nộp"))</f>
        <v/>
      </c>
    </row>
    <row r="361">
      <c r="A361" s="9" t="n">
        <v>357</v>
      </c>
      <c r="B361" s="9" t="inlineStr">
        <is>
          <t>Tuần 6</t>
        </is>
      </c>
      <c r="C361" s="9" t="inlineStr">
        <is>
          <t>Thứ 7</t>
        </is>
      </c>
      <c r="D361" s="9" t="inlineStr">
        <is>
          <t>17/10/2026</t>
        </is>
      </c>
      <c r="E361" s="9" t="inlineStr">
        <is>
          <t>Ngày 40</t>
        </is>
      </c>
      <c r="F361" s="10" t="inlineStr">
        <is>
          <t>TanAnh Pham</t>
        </is>
      </c>
      <c r="G361" s="19" t="inlineStr"/>
      <c r="H361" s="19" t="inlineStr"/>
      <c r="I361" s="19" t="inlineStr"/>
      <c r="J361" s="19" t="inlineStr"/>
      <c r="K361" s="19" t="inlineStr"/>
      <c r="L361" s="19" t="inlineStr"/>
      <c r="M361" s="19" t="inlineStr"/>
      <c r="N361" s="19" t="inlineStr"/>
      <c r="O361" s="11">
        <f>IF(OR(G361&lt;&gt;"",H361&lt;&gt;""),1,0) + IF(OR(I361&lt;&gt;"",J361&lt;&gt;""),1,0) + IF(OR(K361&lt;&gt;"",L361&lt;&gt;""),1,0) + IF(OR(M361&lt;&gt;"",N361&lt;&gt;""),1,0)</f>
        <v/>
      </c>
      <c r="P361" s="9">
        <f>IF(O361=4,"✅ Đủ 4 nhiệm vụ",IF(O361&gt;0,"⏳ Đạt "&amp;O361&amp;"/4","❌ Chưa nộp"))</f>
        <v/>
      </c>
    </row>
    <row r="362">
      <c r="A362" s="9" t="n">
        <v>358</v>
      </c>
      <c r="B362" s="9" t="inlineStr">
        <is>
          <t>Tuần 6</t>
        </is>
      </c>
      <c r="C362" s="9" t="inlineStr">
        <is>
          <t>Thứ 7</t>
        </is>
      </c>
      <c r="D362" s="9" t="inlineStr">
        <is>
          <t>17/10/2026</t>
        </is>
      </c>
      <c r="E362" s="9" t="inlineStr">
        <is>
          <t>Ngày 40</t>
        </is>
      </c>
      <c r="F362" s="10" t="inlineStr">
        <is>
          <t>Thảo Collins Edu</t>
        </is>
      </c>
      <c r="G362" s="19" t="inlineStr"/>
      <c r="H362" s="19" t="inlineStr"/>
      <c r="I362" s="19" t="inlineStr"/>
      <c r="J362" s="19" t="inlineStr"/>
      <c r="K362" s="19" t="inlineStr"/>
      <c r="L362" s="19" t="inlineStr"/>
      <c r="M362" s="19" t="inlineStr"/>
      <c r="N362" s="19" t="inlineStr"/>
      <c r="O362" s="11">
        <f>IF(OR(G362&lt;&gt;"",H362&lt;&gt;""),1,0) + IF(OR(I362&lt;&gt;"",J362&lt;&gt;""),1,0) + IF(OR(K362&lt;&gt;"",L362&lt;&gt;""),1,0) + IF(OR(M362&lt;&gt;"",N362&lt;&gt;""),1,0)</f>
        <v/>
      </c>
      <c r="P362" s="9">
        <f>IF(O362=4,"✅ Đủ 4 nhiệm vụ",IF(O362&gt;0,"⏳ Đạt "&amp;O362&amp;"/4","❌ Chưa nộp"))</f>
        <v/>
      </c>
    </row>
    <row r="363">
      <c r="A363" s="9" t="n">
        <v>359</v>
      </c>
      <c r="B363" s="9" t="inlineStr">
        <is>
          <t>Tuần 6</t>
        </is>
      </c>
      <c r="C363" s="9" t="inlineStr">
        <is>
          <t>Thứ 7</t>
        </is>
      </c>
      <c r="D363" s="9" t="inlineStr">
        <is>
          <t>17/10/2026</t>
        </is>
      </c>
      <c r="E363" s="9" t="inlineStr">
        <is>
          <t>Ngày 40</t>
        </is>
      </c>
      <c r="F363" s="10" t="inlineStr">
        <is>
          <t>Trần Quế Lam</t>
        </is>
      </c>
      <c r="G363" s="19" t="inlineStr"/>
      <c r="H363" s="19" t="inlineStr"/>
      <c r="I363" s="19" t="inlineStr"/>
      <c r="J363" s="19" t="inlineStr"/>
      <c r="K363" s="19" t="inlineStr"/>
      <c r="L363" s="19" t="inlineStr"/>
      <c r="M363" s="19" t="inlineStr"/>
      <c r="N363" s="19" t="inlineStr"/>
      <c r="O363" s="11">
        <f>IF(OR(G363&lt;&gt;"",H363&lt;&gt;""),1,0) + IF(OR(I363&lt;&gt;"",J363&lt;&gt;""),1,0) + IF(OR(K363&lt;&gt;"",L363&lt;&gt;""),1,0) + IF(OR(M363&lt;&gt;"",N363&lt;&gt;""),1,0)</f>
        <v/>
      </c>
      <c r="P363" s="9">
        <f>IF(O363=4,"✅ Đủ 4 nhiệm vụ",IF(O363&gt;0,"⏳ Đạt "&amp;O363&amp;"/4","❌ Chưa nộp"))</f>
        <v/>
      </c>
    </row>
    <row r="364">
      <c r="A364" s="9" t="n">
        <v>360</v>
      </c>
      <c r="B364" s="9" t="inlineStr">
        <is>
          <t>Tuần 6</t>
        </is>
      </c>
      <c r="C364" s="9" t="inlineStr">
        <is>
          <t>Thứ 7</t>
        </is>
      </c>
      <c r="D364" s="9" t="inlineStr">
        <is>
          <t>17/10/2026</t>
        </is>
      </c>
      <c r="E364" s="9" t="inlineStr">
        <is>
          <t>Ngày 40</t>
        </is>
      </c>
      <c r="F364" s="10" t="inlineStr">
        <is>
          <t>Phạm Huyền</t>
        </is>
      </c>
      <c r="G364" s="19" t="inlineStr"/>
      <c r="H364" s="19" t="inlineStr"/>
      <c r="I364" s="19" t="inlineStr"/>
      <c r="J364" s="19" t="inlineStr"/>
      <c r="K364" s="19" t="inlineStr"/>
      <c r="L364" s="19" t="inlineStr"/>
      <c r="M364" s="19" t="inlineStr"/>
      <c r="N364" s="19" t="inlineStr"/>
      <c r="O364" s="11">
        <f>IF(OR(G364&lt;&gt;"",H364&lt;&gt;""),1,0) + IF(OR(I364&lt;&gt;"",J364&lt;&gt;""),1,0) + IF(OR(K364&lt;&gt;"",L364&lt;&gt;""),1,0) + IF(OR(M364&lt;&gt;"",N364&lt;&gt;""),1,0)</f>
        <v/>
      </c>
      <c r="P364" s="9">
        <f>IF(O364=4,"✅ Đủ 4 nhiệm vụ",IF(O364&gt;0,"⏳ Đạt "&amp;O364&amp;"/4","❌ Chưa nộp"))</f>
        <v/>
      </c>
    </row>
    <row r="365">
      <c r="A365" s="5" t="n">
        <v>361</v>
      </c>
      <c r="B365" s="5" t="inlineStr">
        <is>
          <t>Tuần 6</t>
        </is>
      </c>
      <c r="C365" s="5" t="inlineStr">
        <is>
          <t>Chủ Nhật</t>
        </is>
      </c>
      <c r="D365" s="5" t="inlineStr">
        <is>
          <t>18/10/2026</t>
        </is>
      </c>
      <c r="E365" s="5" t="inlineStr">
        <is>
          <t>Ngày 41</t>
        </is>
      </c>
      <c r="F365" s="6" t="inlineStr">
        <is>
          <t>Nancy</t>
        </is>
      </c>
      <c r="G365" s="18" t="inlineStr"/>
      <c r="H365" s="18" t="inlineStr"/>
      <c r="I365" s="18" t="inlineStr"/>
      <c r="J365" s="18" t="inlineStr"/>
      <c r="K365" s="18" t="inlineStr"/>
      <c r="L365" s="18" t="inlineStr"/>
      <c r="M365" s="18" t="inlineStr"/>
      <c r="N365" s="18" t="inlineStr"/>
      <c r="O365" s="7">
        <f>IF(OR(G365&lt;&gt;"",H365&lt;&gt;""),1,0) + IF(OR(I365&lt;&gt;"",J365&lt;&gt;""),1,0) + IF(OR(K365&lt;&gt;"",L365&lt;&gt;""),1,0) + IF(OR(M365&lt;&gt;"",N365&lt;&gt;""),1,0)</f>
        <v/>
      </c>
      <c r="P365" s="5">
        <f>IF(O365=4,"✅ Đủ 4 nhiệm vụ",IF(O365&gt;0,"⏳ Đạt "&amp;O365&amp;"/4","❌ Chưa nộp"))</f>
        <v/>
      </c>
    </row>
    <row r="366">
      <c r="A366" s="5" t="n">
        <v>362</v>
      </c>
      <c r="B366" s="5" t="inlineStr">
        <is>
          <t>Tuần 6</t>
        </is>
      </c>
      <c r="C366" s="5" t="inlineStr">
        <is>
          <t>Chủ Nhật</t>
        </is>
      </c>
      <c r="D366" s="5" t="inlineStr">
        <is>
          <t>18/10/2026</t>
        </is>
      </c>
      <c r="E366" s="5" t="inlineStr">
        <is>
          <t>Ngày 41</t>
        </is>
      </c>
      <c r="F366" s="6" t="inlineStr">
        <is>
          <t>Hoài Học Mãi</t>
        </is>
      </c>
      <c r="G366" s="18" t="inlineStr"/>
      <c r="H366" s="18" t="inlineStr"/>
      <c r="I366" s="18" t="inlineStr"/>
      <c r="J366" s="18" t="inlineStr"/>
      <c r="K366" s="18" t="inlineStr"/>
      <c r="L366" s="18" t="inlineStr"/>
      <c r="M366" s="18" t="inlineStr"/>
      <c r="N366" s="18" t="inlineStr"/>
      <c r="O366" s="7">
        <f>IF(OR(G366&lt;&gt;"",H366&lt;&gt;""),1,0) + IF(OR(I366&lt;&gt;"",J366&lt;&gt;""),1,0) + IF(OR(K366&lt;&gt;"",L366&lt;&gt;""),1,0) + IF(OR(M366&lt;&gt;"",N366&lt;&gt;""),1,0)</f>
        <v/>
      </c>
      <c r="P366" s="5">
        <f>IF(O366=4,"✅ Đủ 4 nhiệm vụ",IF(O366&gt;0,"⏳ Đạt "&amp;O366&amp;"/4","❌ Chưa nộp"))</f>
        <v/>
      </c>
    </row>
    <row r="367">
      <c r="A367" s="5" t="n">
        <v>363</v>
      </c>
      <c r="B367" s="5" t="inlineStr">
        <is>
          <t>Tuần 6</t>
        </is>
      </c>
      <c r="C367" s="5" t="inlineStr">
        <is>
          <t>Chủ Nhật</t>
        </is>
      </c>
      <c r="D367" s="5" t="inlineStr">
        <is>
          <t>18/10/2026</t>
        </is>
      </c>
      <c r="E367" s="5" t="inlineStr">
        <is>
          <t>Ngày 41</t>
        </is>
      </c>
      <c r="F367" s="6" t="inlineStr">
        <is>
          <t>Lambee</t>
        </is>
      </c>
      <c r="G367" s="18" t="inlineStr"/>
      <c r="H367" s="18" t="inlineStr"/>
      <c r="I367" s="18" t="inlineStr"/>
      <c r="J367" s="18" t="inlineStr"/>
      <c r="K367" s="18" t="inlineStr"/>
      <c r="L367" s="18" t="inlineStr"/>
      <c r="M367" s="18" t="inlineStr"/>
      <c r="N367" s="18" t="inlineStr"/>
      <c r="O367" s="7">
        <f>IF(OR(G367&lt;&gt;"",H367&lt;&gt;""),1,0) + IF(OR(I367&lt;&gt;"",J367&lt;&gt;""),1,0) + IF(OR(K367&lt;&gt;"",L367&lt;&gt;""),1,0) + IF(OR(M367&lt;&gt;"",N367&lt;&gt;""),1,0)</f>
        <v/>
      </c>
      <c r="P367" s="5">
        <f>IF(O367=4,"✅ Đủ 4 nhiệm vụ",IF(O367&gt;0,"⏳ Đạt "&amp;O367&amp;"/4","❌ Chưa nộp"))</f>
        <v/>
      </c>
    </row>
    <row r="368">
      <c r="A368" s="5" t="n">
        <v>364</v>
      </c>
      <c r="B368" s="5" t="inlineStr">
        <is>
          <t>Tuần 6</t>
        </is>
      </c>
      <c r="C368" s="5" t="inlineStr">
        <is>
          <t>Chủ Nhật</t>
        </is>
      </c>
      <c r="D368" s="5" t="inlineStr">
        <is>
          <t>18/10/2026</t>
        </is>
      </c>
      <c r="E368" s="5" t="inlineStr">
        <is>
          <t>Ngày 41</t>
        </is>
      </c>
      <c r="F368" s="6" t="inlineStr">
        <is>
          <t>Nhung Hoàng</t>
        </is>
      </c>
      <c r="G368" s="18" t="inlineStr"/>
      <c r="H368" s="18" t="inlineStr"/>
      <c r="I368" s="18" t="inlineStr"/>
      <c r="J368" s="18" t="inlineStr"/>
      <c r="K368" s="18" t="inlineStr"/>
      <c r="L368" s="18" t="inlineStr"/>
      <c r="M368" s="18" t="inlineStr"/>
      <c r="N368" s="18" t="inlineStr"/>
      <c r="O368" s="7">
        <f>IF(OR(G368&lt;&gt;"",H368&lt;&gt;""),1,0) + IF(OR(I368&lt;&gt;"",J368&lt;&gt;""),1,0) + IF(OR(K368&lt;&gt;"",L368&lt;&gt;""),1,0) + IF(OR(M368&lt;&gt;"",N368&lt;&gt;""),1,0)</f>
        <v/>
      </c>
      <c r="P368" s="5">
        <f>IF(O368=4,"✅ Đủ 4 nhiệm vụ",IF(O368&gt;0,"⏳ Đạt "&amp;O368&amp;"/4","❌ Chưa nộp"))</f>
        <v/>
      </c>
    </row>
    <row r="369">
      <c r="A369" s="5" t="n">
        <v>365</v>
      </c>
      <c r="B369" s="5" t="inlineStr">
        <is>
          <t>Tuần 6</t>
        </is>
      </c>
      <c r="C369" s="5" t="inlineStr">
        <is>
          <t>Chủ Nhật</t>
        </is>
      </c>
      <c r="D369" s="5" t="inlineStr">
        <is>
          <t>18/10/2026</t>
        </is>
      </c>
      <c r="E369" s="5" t="inlineStr">
        <is>
          <t>Ngày 41</t>
        </is>
      </c>
      <c r="F369" s="6" t="inlineStr">
        <is>
          <t>Quỳnh Thu</t>
        </is>
      </c>
      <c r="G369" s="18" t="inlineStr"/>
      <c r="H369" s="18" t="inlineStr"/>
      <c r="I369" s="18" t="inlineStr"/>
      <c r="J369" s="18" t="inlineStr"/>
      <c r="K369" s="18" t="inlineStr"/>
      <c r="L369" s="18" t="inlineStr"/>
      <c r="M369" s="18" t="inlineStr"/>
      <c r="N369" s="18" t="inlineStr"/>
      <c r="O369" s="7">
        <f>IF(OR(G369&lt;&gt;"",H369&lt;&gt;""),1,0) + IF(OR(I369&lt;&gt;"",J369&lt;&gt;""),1,0) + IF(OR(K369&lt;&gt;"",L369&lt;&gt;""),1,0) + IF(OR(M369&lt;&gt;"",N369&lt;&gt;""),1,0)</f>
        <v/>
      </c>
      <c r="P369" s="5">
        <f>IF(O369=4,"✅ Đủ 4 nhiệm vụ",IF(O369&gt;0,"⏳ Đạt "&amp;O369&amp;"/4","❌ Chưa nộp"))</f>
        <v/>
      </c>
    </row>
    <row r="370">
      <c r="A370" s="5" t="n">
        <v>366</v>
      </c>
      <c r="B370" s="5" t="inlineStr">
        <is>
          <t>Tuần 6</t>
        </is>
      </c>
      <c r="C370" s="5" t="inlineStr">
        <is>
          <t>Chủ Nhật</t>
        </is>
      </c>
      <c r="D370" s="5" t="inlineStr">
        <is>
          <t>18/10/2026</t>
        </is>
      </c>
      <c r="E370" s="5" t="inlineStr">
        <is>
          <t>Ngày 41</t>
        </is>
      </c>
      <c r="F370" s="6" t="inlineStr">
        <is>
          <t>TanAnh Pham</t>
        </is>
      </c>
      <c r="G370" s="18" t="inlineStr"/>
      <c r="H370" s="18" t="inlineStr"/>
      <c r="I370" s="18" t="inlineStr"/>
      <c r="J370" s="18" t="inlineStr"/>
      <c r="K370" s="18" t="inlineStr"/>
      <c r="L370" s="18" t="inlineStr"/>
      <c r="M370" s="18" t="inlineStr"/>
      <c r="N370" s="18" t="inlineStr"/>
      <c r="O370" s="7">
        <f>IF(OR(G370&lt;&gt;"",H370&lt;&gt;""),1,0) + IF(OR(I370&lt;&gt;"",J370&lt;&gt;""),1,0) + IF(OR(K370&lt;&gt;"",L370&lt;&gt;""),1,0) + IF(OR(M370&lt;&gt;"",N370&lt;&gt;""),1,0)</f>
        <v/>
      </c>
      <c r="P370" s="5">
        <f>IF(O370=4,"✅ Đủ 4 nhiệm vụ",IF(O370&gt;0,"⏳ Đạt "&amp;O370&amp;"/4","❌ Chưa nộp"))</f>
        <v/>
      </c>
    </row>
    <row r="371">
      <c r="A371" s="5" t="n">
        <v>367</v>
      </c>
      <c r="B371" s="5" t="inlineStr">
        <is>
          <t>Tuần 6</t>
        </is>
      </c>
      <c r="C371" s="5" t="inlineStr">
        <is>
          <t>Chủ Nhật</t>
        </is>
      </c>
      <c r="D371" s="5" t="inlineStr">
        <is>
          <t>18/10/2026</t>
        </is>
      </c>
      <c r="E371" s="5" t="inlineStr">
        <is>
          <t>Ngày 41</t>
        </is>
      </c>
      <c r="F371" s="6" t="inlineStr">
        <is>
          <t>Thảo Collins Edu</t>
        </is>
      </c>
      <c r="G371" s="18" t="inlineStr"/>
      <c r="H371" s="18" t="inlineStr"/>
      <c r="I371" s="18" t="inlineStr"/>
      <c r="J371" s="18" t="inlineStr"/>
      <c r="K371" s="18" t="inlineStr"/>
      <c r="L371" s="18" t="inlineStr"/>
      <c r="M371" s="18" t="inlineStr"/>
      <c r="N371" s="18" t="inlineStr"/>
      <c r="O371" s="7">
        <f>IF(OR(G371&lt;&gt;"",H371&lt;&gt;""),1,0) + IF(OR(I371&lt;&gt;"",J371&lt;&gt;""),1,0) + IF(OR(K371&lt;&gt;"",L371&lt;&gt;""),1,0) + IF(OR(M371&lt;&gt;"",N371&lt;&gt;""),1,0)</f>
        <v/>
      </c>
      <c r="P371" s="5">
        <f>IF(O371=4,"✅ Đủ 4 nhiệm vụ",IF(O371&gt;0,"⏳ Đạt "&amp;O371&amp;"/4","❌ Chưa nộp"))</f>
        <v/>
      </c>
    </row>
    <row r="372">
      <c r="A372" s="5" t="n">
        <v>368</v>
      </c>
      <c r="B372" s="5" t="inlineStr">
        <is>
          <t>Tuần 6</t>
        </is>
      </c>
      <c r="C372" s="5" t="inlineStr">
        <is>
          <t>Chủ Nhật</t>
        </is>
      </c>
      <c r="D372" s="5" t="inlineStr">
        <is>
          <t>18/10/2026</t>
        </is>
      </c>
      <c r="E372" s="5" t="inlineStr">
        <is>
          <t>Ngày 41</t>
        </is>
      </c>
      <c r="F372" s="6" t="inlineStr">
        <is>
          <t>Trần Quế Lam</t>
        </is>
      </c>
      <c r="G372" s="18" t="inlineStr"/>
      <c r="H372" s="18" t="inlineStr"/>
      <c r="I372" s="18" t="inlineStr"/>
      <c r="J372" s="18" t="inlineStr"/>
      <c r="K372" s="18" t="inlineStr"/>
      <c r="L372" s="18" t="inlineStr"/>
      <c r="M372" s="18" t="inlineStr"/>
      <c r="N372" s="18" t="inlineStr"/>
      <c r="O372" s="7">
        <f>IF(OR(G372&lt;&gt;"",H372&lt;&gt;""),1,0) + IF(OR(I372&lt;&gt;"",J372&lt;&gt;""),1,0) + IF(OR(K372&lt;&gt;"",L372&lt;&gt;""),1,0) + IF(OR(M372&lt;&gt;"",N372&lt;&gt;""),1,0)</f>
        <v/>
      </c>
      <c r="P372" s="5">
        <f>IF(O372=4,"✅ Đủ 4 nhiệm vụ",IF(O372&gt;0,"⏳ Đạt "&amp;O372&amp;"/4","❌ Chưa nộp"))</f>
        <v/>
      </c>
    </row>
    <row r="373">
      <c r="A373" s="5" t="n">
        <v>369</v>
      </c>
      <c r="B373" s="5" t="inlineStr">
        <is>
          <t>Tuần 6</t>
        </is>
      </c>
      <c r="C373" s="5" t="inlineStr">
        <is>
          <t>Chủ Nhật</t>
        </is>
      </c>
      <c r="D373" s="5" t="inlineStr">
        <is>
          <t>18/10/2026</t>
        </is>
      </c>
      <c r="E373" s="5" t="inlineStr">
        <is>
          <t>Ngày 41</t>
        </is>
      </c>
      <c r="F373" s="6" t="inlineStr">
        <is>
          <t>Phạm Huyền</t>
        </is>
      </c>
      <c r="G373" s="18" t="inlineStr"/>
      <c r="H373" s="18" t="inlineStr"/>
      <c r="I373" s="18" t="inlineStr"/>
      <c r="J373" s="18" t="inlineStr"/>
      <c r="K373" s="18" t="inlineStr"/>
      <c r="L373" s="18" t="inlineStr"/>
      <c r="M373" s="18" t="inlineStr"/>
      <c r="N373" s="18" t="inlineStr"/>
      <c r="O373" s="7">
        <f>IF(OR(G373&lt;&gt;"",H373&lt;&gt;""),1,0) + IF(OR(I373&lt;&gt;"",J373&lt;&gt;""),1,0) + IF(OR(K373&lt;&gt;"",L373&lt;&gt;""),1,0) + IF(OR(M373&lt;&gt;"",N373&lt;&gt;""),1,0)</f>
        <v/>
      </c>
      <c r="P373" s="5">
        <f>IF(O373=4,"✅ Đủ 4 nhiệm vụ",IF(O373&gt;0,"⏳ Đạt "&amp;O373&amp;"/4","❌ Chưa nộp"))</f>
        <v/>
      </c>
    </row>
    <row r="374">
      <c r="A374" s="9" t="n">
        <v>370</v>
      </c>
      <c r="B374" s="9" t="inlineStr">
        <is>
          <t>Tuần 6</t>
        </is>
      </c>
      <c r="C374" s="9" t="inlineStr">
        <is>
          <t>Thứ 2</t>
        </is>
      </c>
      <c r="D374" s="9" t="inlineStr">
        <is>
          <t>19/10/2026</t>
        </is>
      </c>
      <c r="E374" s="9" t="inlineStr">
        <is>
          <t>Ngày 42</t>
        </is>
      </c>
      <c r="F374" s="10" t="inlineStr">
        <is>
          <t>Nancy</t>
        </is>
      </c>
      <c r="G374" s="19" t="inlineStr"/>
      <c r="H374" s="19" t="inlineStr"/>
      <c r="I374" s="19" t="inlineStr"/>
      <c r="J374" s="19" t="inlineStr"/>
      <c r="K374" s="19" t="inlineStr"/>
      <c r="L374" s="19" t="inlineStr"/>
      <c r="M374" s="19" t="inlineStr"/>
      <c r="N374" s="19" t="inlineStr"/>
      <c r="O374" s="11">
        <f>IF(OR(G374&lt;&gt;"",H374&lt;&gt;""),1,0) + IF(OR(I374&lt;&gt;"",J374&lt;&gt;""),1,0) + IF(OR(K374&lt;&gt;"",L374&lt;&gt;""),1,0) + IF(OR(M374&lt;&gt;"",N374&lt;&gt;""),1,0)</f>
        <v/>
      </c>
      <c r="P374" s="9">
        <f>IF(O374=4,"✅ Đủ 4 nhiệm vụ",IF(O374&gt;0,"⏳ Đạt "&amp;O374&amp;"/4","❌ Chưa nộp"))</f>
        <v/>
      </c>
    </row>
    <row r="375">
      <c r="A375" s="9" t="n">
        <v>371</v>
      </c>
      <c r="B375" s="9" t="inlineStr">
        <is>
          <t>Tuần 6</t>
        </is>
      </c>
      <c r="C375" s="9" t="inlineStr">
        <is>
          <t>Thứ 2</t>
        </is>
      </c>
      <c r="D375" s="9" t="inlineStr">
        <is>
          <t>19/10/2026</t>
        </is>
      </c>
      <c r="E375" s="9" t="inlineStr">
        <is>
          <t>Ngày 42</t>
        </is>
      </c>
      <c r="F375" s="10" t="inlineStr">
        <is>
          <t>Hoài Học Mãi</t>
        </is>
      </c>
      <c r="G375" s="19" t="inlineStr"/>
      <c r="H375" s="19" t="inlineStr"/>
      <c r="I375" s="19" t="inlineStr"/>
      <c r="J375" s="19" t="inlineStr"/>
      <c r="K375" s="19" t="inlineStr"/>
      <c r="L375" s="19" t="inlineStr"/>
      <c r="M375" s="19" t="inlineStr"/>
      <c r="N375" s="19" t="inlineStr"/>
      <c r="O375" s="11">
        <f>IF(OR(G375&lt;&gt;"",H375&lt;&gt;""),1,0) + IF(OR(I375&lt;&gt;"",J375&lt;&gt;""),1,0) + IF(OR(K375&lt;&gt;"",L375&lt;&gt;""),1,0) + IF(OR(M375&lt;&gt;"",N375&lt;&gt;""),1,0)</f>
        <v/>
      </c>
      <c r="P375" s="9">
        <f>IF(O375=4,"✅ Đủ 4 nhiệm vụ",IF(O375&gt;0,"⏳ Đạt "&amp;O375&amp;"/4","❌ Chưa nộp"))</f>
        <v/>
      </c>
    </row>
    <row r="376">
      <c r="A376" s="9" t="n">
        <v>372</v>
      </c>
      <c r="B376" s="9" t="inlineStr">
        <is>
          <t>Tuần 6</t>
        </is>
      </c>
      <c r="C376" s="9" t="inlineStr">
        <is>
          <t>Thứ 2</t>
        </is>
      </c>
      <c r="D376" s="9" t="inlineStr">
        <is>
          <t>19/10/2026</t>
        </is>
      </c>
      <c r="E376" s="9" t="inlineStr">
        <is>
          <t>Ngày 42</t>
        </is>
      </c>
      <c r="F376" s="10" t="inlineStr">
        <is>
          <t>Lambee</t>
        </is>
      </c>
      <c r="G376" s="19" t="inlineStr"/>
      <c r="H376" s="19" t="inlineStr"/>
      <c r="I376" s="19" t="inlineStr"/>
      <c r="J376" s="19" t="inlineStr"/>
      <c r="K376" s="19" t="inlineStr"/>
      <c r="L376" s="19" t="inlineStr"/>
      <c r="M376" s="19" t="inlineStr"/>
      <c r="N376" s="19" t="inlineStr"/>
      <c r="O376" s="11">
        <f>IF(OR(G376&lt;&gt;"",H376&lt;&gt;""),1,0) + IF(OR(I376&lt;&gt;"",J376&lt;&gt;""),1,0) + IF(OR(K376&lt;&gt;"",L376&lt;&gt;""),1,0) + IF(OR(M376&lt;&gt;"",N376&lt;&gt;""),1,0)</f>
        <v/>
      </c>
      <c r="P376" s="9">
        <f>IF(O376=4,"✅ Đủ 4 nhiệm vụ",IF(O376&gt;0,"⏳ Đạt "&amp;O376&amp;"/4","❌ Chưa nộp"))</f>
        <v/>
      </c>
    </row>
    <row r="377">
      <c r="A377" s="9" t="n">
        <v>373</v>
      </c>
      <c r="B377" s="9" t="inlineStr">
        <is>
          <t>Tuần 6</t>
        </is>
      </c>
      <c r="C377" s="9" t="inlineStr">
        <is>
          <t>Thứ 2</t>
        </is>
      </c>
      <c r="D377" s="9" t="inlineStr">
        <is>
          <t>19/10/2026</t>
        </is>
      </c>
      <c r="E377" s="9" t="inlineStr">
        <is>
          <t>Ngày 42</t>
        </is>
      </c>
      <c r="F377" s="10" t="inlineStr">
        <is>
          <t>Nhung Hoàng</t>
        </is>
      </c>
      <c r="G377" s="19" t="inlineStr"/>
      <c r="H377" s="19" t="inlineStr"/>
      <c r="I377" s="19" t="inlineStr"/>
      <c r="J377" s="19" t="inlineStr"/>
      <c r="K377" s="19" t="inlineStr"/>
      <c r="L377" s="19" t="inlineStr"/>
      <c r="M377" s="19" t="inlineStr"/>
      <c r="N377" s="19" t="inlineStr"/>
      <c r="O377" s="11">
        <f>IF(OR(G377&lt;&gt;"",H377&lt;&gt;""),1,0) + IF(OR(I377&lt;&gt;"",J377&lt;&gt;""),1,0) + IF(OR(K377&lt;&gt;"",L377&lt;&gt;""),1,0) + IF(OR(M377&lt;&gt;"",N377&lt;&gt;""),1,0)</f>
        <v/>
      </c>
      <c r="P377" s="9">
        <f>IF(O377=4,"✅ Đủ 4 nhiệm vụ",IF(O377&gt;0,"⏳ Đạt "&amp;O377&amp;"/4","❌ Chưa nộp"))</f>
        <v/>
      </c>
    </row>
    <row r="378">
      <c r="A378" s="9" t="n">
        <v>374</v>
      </c>
      <c r="B378" s="9" t="inlineStr">
        <is>
          <t>Tuần 6</t>
        </is>
      </c>
      <c r="C378" s="9" t="inlineStr">
        <is>
          <t>Thứ 2</t>
        </is>
      </c>
      <c r="D378" s="9" t="inlineStr">
        <is>
          <t>19/10/2026</t>
        </is>
      </c>
      <c r="E378" s="9" t="inlineStr">
        <is>
          <t>Ngày 42</t>
        </is>
      </c>
      <c r="F378" s="10" t="inlineStr">
        <is>
          <t>Quỳnh Thu</t>
        </is>
      </c>
      <c r="G378" s="19" t="inlineStr"/>
      <c r="H378" s="19" t="inlineStr"/>
      <c r="I378" s="19" t="inlineStr"/>
      <c r="J378" s="19" t="inlineStr"/>
      <c r="K378" s="19" t="inlineStr"/>
      <c r="L378" s="19" t="inlineStr"/>
      <c r="M378" s="19" t="inlineStr"/>
      <c r="N378" s="19" t="inlineStr"/>
      <c r="O378" s="11">
        <f>IF(OR(G378&lt;&gt;"",H378&lt;&gt;""),1,0) + IF(OR(I378&lt;&gt;"",J378&lt;&gt;""),1,0) + IF(OR(K378&lt;&gt;"",L378&lt;&gt;""),1,0) + IF(OR(M378&lt;&gt;"",N378&lt;&gt;""),1,0)</f>
        <v/>
      </c>
      <c r="P378" s="9">
        <f>IF(O378=4,"✅ Đủ 4 nhiệm vụ",IF(O378&gt;0,"⏳ Đạt "&amp;O378&amp;"/4","❌ Chưa nộp"))</f>
        <v/>
      </c>
    </row>
    <row r="379">
      <c r="A379" s="9" t="n">
        <v>375</v>
      </c>
      <c r="B379" s="9" t="inlineStr">
        <is>
          <t>Tuần 6</t>
        </is>
      </c>
      <c r="C379" s="9" t="inlineStr">
        <is>
          <t>Thứ 2</t>
        </is>
      </c>
      <c r="D379" s="9" t="inlineStr">
        <is>
          <t>19/10/2026</t>
        </is>
      </c>
      <c r="E379" s="9" t="inlineStr">
        <is>
          <t>Ngày 42</t>
        </is>
      </c>
      <c r="F379" s="10" t="inlineStr">
        <is>
          <t>TanAnh Pham</t>
        </is>
      </c>
      <c r="G379" s="19" t="inlineStr"/>
      <c r="H379" s="19" t="inlineStr"/>
      <c r="I379" s="19" t="inlineStr"/>
      <c r="J379" s="19" t="inlineStr"/>
      <c r="K379" s="19" t="inlineStr"/>
      <c r="L379" s="19" t="inlineStr"/>
      <c r="M379" s="19" t="inlineStr"/>
      <c r="N379" s="19" t="inlineStr"/>
      <c r="O379" s="11">
        <f>IF(OR(G379&lt;&gt;"",H379&lt;&gt;""),1,0) + IF(OR(I379&lt;&gt;"",J379&lt;&gt;""),1,0) + IF(OR(K379&lt;&gt;"",L379&lt;&gt;""),1,0) + IF(OR(M379&lt;&gt;"",N379&lt;&gt;""),1,0)</f>
        <v/>
      </c>
      <c r="P379" s="9">
        <f>IF(O379=4,"✅ Đủ 4 nhiệm vụ",IF(O379&gt;0,"⏳ Đạt "&amp;O379&amp;"/4","❌ Chưa nộp"))</f>
        <v/>
      </c>
    </row>
    <row r="380">
      <c r="A380" s="9" t="n">
        <v>376</v>
      </c>
      <c r="B380" s="9" t="inlineStr">
        <is>
          <t>Tuần 6</t>
        </is>
      </c>
      <c r="C380" s="9" t="inlineStr">
        <is>
          <t>Thứ 2</t>
        </is>
      </c>
      <c r="D380" s="9" t="inlineStr">
        <is>
          <t>19/10/2026</t>
        </is>
      </c>
      <c r="E380" s="9" t="inlineStr">
        <is>
          <t>Ngày 42</t>
        </is>
      </c>
      <c r="F380" s="10" t="inlineStr">
        <is>
          <t>Thảo Collins Edu</t>
        </is>
      </c>
      <c r="G380" s="19" t="inlineStr"/>
      <c r="H380" s="19" t="inlineStr"/>
      <c r="I380" s="19" t="inlineStr"/>
      <c r="J380" s="19" t="inlineStr"/>
      <c r="K380" s="19" t="inlineStr"/>
      <c r="L380" s="19" t="inlineStr"/>
      <c r="M380" s="19" t="inlineStr"/>
      <c r="N380" s="19" t="inlineStr"/>
      <c r="O380" s="11">
        <f>IF(OR(G380&lt;&gt;"",H380&lt;&gt;""),1,0) + IF(OR(I380&lt;&gt;"",J380&lt;&gt;""),1,0) + IF(OR(K380&lt;&gt;"",L380&lt;&gt;""),1,0) + IF(OR(M380&lt;&gt;"",N380&lt;&gt;""),1,0)</f>
        <v/>
      </c>
      <c r="P380" s="9">
        <f>IF(O380=4,"✅ Đủ 4 nhiệm vụ",IF(O380&gt;0,"⏳ Đạt "&amp;O380&amp;"/4","❌ Chưa nộp"))</f>
        <v/>
      </c>
    </row>
    <row r="381">
      <c r="A381" s="9" t="n">
        <v>377</v>
      </c>
      <c r="B381" s="9" t="inlineStr">
        <is>
          <t>Tuần 6</t>
        </is>
      </c>
      <c r="C381" s="9" t="inlineStr">
        <is>
          <t>Thứ 2</t>
        </is>
      </c>
      <c r="D381" s="9" t="inlineStr">
        <is>
          <t>19/10/2026</t>
        </is>
      </c>
      <c r="E381" s="9" t="inlineStr">
        <is>
          <t>Ngày 42</t>
        </is>
      </c>
      <c r="F381" s="10" t="inlineStr">
        <is>
          <t>Trần Quế Lam</t>
        </is>
      </c>
      <c r="G381" s="19" t="inlineStr"/>
      <c r="H381" s="19" t="inlineStr"/>
      <c r="I381" s="19" t="inlineStr"/>
      <c r="J381" s="19" t="inlineStr"/>
      <c r="K381" s="19" t="inlineStr"/>
      <c r="L381" s="19" t="inlineStr"/>
      <c r="M381" s="19" t="inlineStr"/>
      <c r="N381" s="19" t="inlineStr"/>
      <c r="O381" s="11">
        <f>IF(OR(G381&lt;&gt;"",H381&lt;&gt;""),1,0) + IF(OR(I381&lt;&gt;"",J381&lt;&gt;""),1,0) + IF(OR(K381&lt;&gt;"",L381&lt;&gt;""),1,0) + IF(OR(M381&lt;&gt;"",N381&lt;&gt;""),1,0)</f>
        <v/>
      </c>
      <c r="P381" s="9">
        <f>IF(O381=4,"✅ Đủ 4 nhiệm vụ",IF(O381&gt;0,"⏳ Đạt "&amp;O381&amp;"/4","❌ Chưa nộp"))</f>
        <v/>
      </c>
    </row>
    <row r="382">
      <c r="A382" s="9" t="n">
        <v>378</v>
      </c>
      <c r="B382" s="9" t="inlineStr">
        <is>
          <t>Tuần 6</t>
        </is>
      </c>
      <c r="C382" s="9" t="inlineStr">
        <is>
          <t>Thứ 2</t>
        </is>
      </c>
      <c r="D382" s="9" t="inlineStr">
        <is>
          <t>19/10/2026</t>
        </is>
      </c>
      <c r="E382" s="9" t="inlineStr">
        <is>
          <t>Ngày 42</t>
        </is>
      </c>
      <c r="F382" s="10" t="inlineStr">
        <is>
          <t>Phạm Huyền</t>
        </is>
      </c>
      <c r="G382" s="19" t="inlineStr"/>
      <c r="H382" s="19" t="inlineStr"/>
      <c r="I382" s="19" t="inlineStr"/>
      <c r="J382" s="19" t="inlineStr"/>
      <c r="K382" s="19" t="inlineStr"/>
      <c r="L382" s="19" t="inlineStr"/>
      <c r="M382" s="19" t="inlineStr"/>
      <c r="N382" s="19" t="inlineStr"/>
      <c r="O382" s="11">
        <f>IF(OR(G382&lt;&gt;"",H382&lt;&gt;""),1,0) + IF(OR(I382&lt;&gt;"",J382&lt;&gt;""),1,0) + IF(OR(K382&lt;&gt;"",L382&lt;&gt;""),1,0) + IF(OR(M382&lt;&gt;"",N382&lt;&gt;""),1,0)</f>
        <v/>
      </c>
      <c r="P382" s="9">
        <f>IF(O382=4,"✅ Đủ 4 nhiệm vụ",IF(O382&gt;0,"⏳ Đạt "&amp;O382&amp;"/4","❌ Chưa nộp"))</f>
        <v/>
      </c>
    </row>
    <row r="383">
      <c r="A383" s="5" t="n">
        <v>379</v>
      </c>
      <c r="B383" s="5" t="inlineStr">
        <is>
          <t>Tuần 7</t>
        </is>
      </c>
      <c r="C383" s="5" t="inlineStr">
        <is>
          <t>Thứ 3</t>
        </is>
      </c>
      <c r="D383" s="5" t="inlineStr">
        <is>
          <t>20/10/2026</t>
        </is>
      </c>
      <c r="E383" s="5" t="inlineStr">
        <is>
          <t>Ngày 43</t>
        </is>
      </c>
      <c r="F383" s="6" t="inlineStr">
        <is>
          <t>Nancy</t>
        </is>
      </c>
      <c r="G383" s="18" t="inlineStr"/>
      <c r="H383" s="18" t="inlineStr"/>
      <c r="I383" s="18" t="inlineStr"/>
      <c r="J383" s="18" t="inlineStr"/>
      <c r="K383" s="18" t="inlineStr"/>
      <c r="L383" s="18" t="inlineStr"/>
      <c r="M383" s="18" t="inlineStr"/>
      <c r="N383" s="18" t="inlineStr"/>
      <c r="O383" s="7">
        <f>IF(OR(G383&lt;&gt;"",H383&lt;&gt;""),1,0) + IF(OR(I383&lt;&gt;"",J383&lt;&gt;""),1,0) + IF(OR(K383&lt;&gt;"",L383&lt;&gt;""),1,0) + IF(OR(M383&lt;&gt;"",N383&lt;&gt;""),1,0)</f>
        <v/>
      </c>
      <c r="P383" s="5">
        <f>IF(O383=4,"✅ Đủ 4 nhiệm vụ",IF(O383&gt;0,"⏳ Đạt "&amp;O383&amp;"/4","❌ Chưa nộp"))</f>
        <v/>
      </c>
    </row>
    <row r="384">
      <c r="A384" s="5" t="n">
        <v>380</v>
      </c>
      <c r="B384" s="5" t="inlineStr">
        <is>
          <t>Tuần 7</t>
        </is>
      </c>
      <c r="C384" s="5" t="inlineStr">
        <is>
          <t>Thứ 3</t>
        </is>
      </c>
      <c r="D384" s="5" t="inlineStr">
        <is>
          <t>20/10/2026</t>
        </is>
      </c>
      <c r="E384" s="5" t="inlineStr">
        <is>
          <t>Ngày 43</t>
        </is>
      </c>
      <c r="F384" s="6" t="inlineStr">
        <is>
          <t>Hoài Học Mãi</t>
        </is>
      </c>
      <c r="G384" s="18" t="inlineStr"/>
      <c r="H384" s="18" t="inlineStr"/>
      <c r="I384" s="18" t="inlineStr"/>
      <c r="J384" s="18" t="inlineStr"/>
      <c r="K384" s="18" t="inlineStr"/>
      <c r="L384" s="18" t="inlineStr"/>
      <c r="M384" s="18" t="inlineStr"/>
      <c r="N384" s="18" t="inlineStr"/>
      <c r="O384" s="7">
        <f>IF(OR(G384&lt;&gt;"",H384&lt;&gt;""),1,0) + IF(OR(I384&lt;&gt;"",J384&lt;&gt;""),1,0) + IF(OR(K384&lt;&gt;"",L384&lt;&gt;""),1,0) + IF(OR(M384&lt;&gt;"",N384&lt;&gt;""),1,0)</f>
        <v/>
      </c>
      <c r="P384" s="5">
        <f>IF(O384=4,"✅ Đủ 4 nhiệm vụ",IF(O384&gt;0,"⏳ Đạt "&amp;O384&amp;"/4","❌ Chưa nộp"))</f>
        <v/>
      </c>
    </row>
    <row r="385">
      <c r="A385" s="5" t="n">
        <v>381</v>
      </c>
      <c r="B385" s="5" t="inlineStr">
        <is>
          <t>Tuần 7</t>
        </is>
      </c>
      <c r="C385" s="5" t="inlineStr">
        <is>
          <t>Thứ 3</t>
        </is>
      </c>
      <c r="D385" s="5" t="inlineStr">
        <is>
          <t>20/10/2026</t>
        </is>
      </c>
      <c r="E385" s="5" t="inlineStr">
        <is>
          <t>Ngày 43</t>
        </is>
      </c>
      <c r="F385" s="6" t="inlineStr">
        <is>
          <t>Lambee</t>
        </is>
      </c>
      <c r="G385" s="18" t="inlineStr"/>
      <c r="H385" s="18" t="inlineStr"/>
      <c r="I385" s="18" t="inlineStr"/>
      <c r="J385" s="18" t="inlineStr"/>
      <c r="K385" s="18" t="inlineStr"/>
      <c r="L385" s="18" t="inlineStr"/>
      <c r="M385" s="18" t="inlineStr"/>
      <c r="N385" s="18" t="inlineStr"/>
      <c r="O385" s="7">
        <f>IF(OR(G385&lt;&gt;"",H385&lt;&gt;""),1,0) + IF(OR(I385&lt;&gt;"",J385&lt;&gt;""),1,0) + IF(OR(K385&lt;&gt;"",L385&lt;&gt;""),1,0) + IF(OR(M385&lt;&gt;"",N385&lt;&gt;""),1,0)</f>
        <v/>
      </c>
      <c r="P385" s="5">
        <f>IF(O385=4,"✅ Đủ 4 nhiệm vụ",IF(O385&gt;0,"⏳ Đạt "&amp;O385&amp;"/4","❌ Chưa nộp"))</f>
        <v/>
      </c>
    </row>
    <row r="386">
      <c r="A386" s="5" t="n">
        <v>382</v>
      </c>
      <c r="B386" s="5" t="inlineStr">
        <is>
          <t>Tuần 7</t>
        </is>
      </c>
      <c r="C386" s="5" t="inlineStr">
        <is>
          <t>Thứ 3</t>
        </is>
      </c>
      <c r="D386" s="5" t="inlineStr">
        <is>
          <t>20/10/2026</t>
        </is>
      </c>
      <c r="E386" s="5" t="inlineStr">
        <is>
          <t>Ngày 43</t>
        </is>
      </c>
      <c r="F386" s="6" t="inlineStr">
        <is>
          <t>Nhung Hoàng</t>
        </is>
      </c>
      <c r="G386" s="18" t="inlineStr"/>
      <c r="H386" s="18" t="inlineStr"/>
      <c r="I386" s="18" t="inlineStr"/>
      <c r="J386" s="18" t="inlineStr"/>
      <c r="K386" s="18" t="inlineStr"/>
      <c r="L386" s="18" t="inlineStr"/>
      <c r="M386" s="18" t="inlineStr"/>
      <c r="N386" s="18" t="inlineStr"/>
      <c r="O386" s="7">
        <f>IF(OR(G386&lt;&gt;"",H386&lt;&gt;""),1,0) + IF(OR(I386&lt;&gt;"",J386&lt;&gt;""),1,0) + IF(OR(K386&lt;&gt;"",L386&lt;&gt;""),1,0) + IF(OR(M386&lt;&gt;"",N386&lt;&gt;""),1,0)</f>
        <v/>
      </c>
      <c r="P386" s="5">
        <f>IF(O386=4,"✅ Đủ 4 nhiệm vụ",IF(O386&gt;0,"⏳ Đạt "&amp;O386&amp;"/4","❌ Chưa nộp"))</f>
        <v/>
      </c>
    </row>
    <row r="387">
      <c r="A387" s="5" t="n">
        <v>383</v>
      </c>
      <c r="B387" s="5" t="inlineStr">
        <is>
          <t>Tuần 7</t>
        </is>
      </c>
      <c r="C387" s="5" t="inlineStr">
        <is>
          <t>Thứ 3</t>
        </is>
      </c>
      <c r="D387" s="5" t="inlineStr">
        <is>
          <t>20/10/2026</t>
        </is>
      </c>
      <c r="E387" s="5" t="inlineStr">
        <is>
          <t>Ngày 43</t>
        </is>
      </c>
      <c r="F387" s="6" t="inlineStr">
        <is>
          <t>Quỳnh Thu</t>
        </is>
      </c>
      <c r="G387" s="18" t="inlineStr"/>
      <c r="H387" s="18" t="inlineStr"/>
      <c r="I387" s="18" t="inlineStr"/>
      <c r="J387" s="18" t="inlineStr"/>
      <c r="K387" s="18" t="inlineStr"/>
      <c r="L387" s="18" t="inlineStr"/>
      <c r="M387" s="18" t="inlineStr"/>
      <c r="N387" s="18" t="inlineStr"/>
      <c r="O387" s="7">
        <f>IF(OR(G387&lt;&gt;"",H387&lt;&gt;""),1,0) + IF(OR(I387&lt;&gt;"",J387&lt;&gt;""),1,0) + IF(OR(K387&lt;&gt;"",L387&lt;&gt;""),1,0) + IF(OR(M387&lt;&gt;"",N387&lt;&gt;""),1,0)</f>
        <v/>
      </c>
      <c r="P387" s="5">
        <f>IF(O387=4,"✅ Đủ 4 nhiệm vụ",IF(O387&gt;0,"⏳ Đạt "&amp;O387&amp;"/4","❌ Chưa nộp"))</f>
        <v/>
      </c>
    </row>
    <row r="388">
      <c r="A388" s="5" t="n">
        <v>384</v>
      </c>
      <c r="B388" s="5" t="inlineStr">
        <is>
          <t>Tuần 7</t>
        </is>
      </c>
      <c r="C388" s="5" t="inlineStr">
        <is>
          <t>Thứ 3</t>
        </is>
      </c>
      <c r="D388" s="5" t="inlineStr">
        <is>
          <t>20/10/2026</t>
        </is>
      </c>
      <c r="E388" s="5" t="inlineStr">
        <is>
          <t>Ngày 43</t>
        </is>
      </c>
      <c r="F388" s="6" t="inlineStr">
        <is>
          <t>TanAnh Pham</t>
        </is>
      </c>
      <c r="G388" s="18" t="inlineStr"/>
      <c r="H388" s="18" t="inlineStr"/>
      <c r="I388" s="18" t="inlineStr"/>
      <c r="J388" s="18" t="inlineStr"/>
      <c r="K388" s="18" t="inlineStr"/>
      <c r="L388" s="18" t="inlineStr"/>
      <c r="M388" s="18" t="inlineStr"/>
      <c r="N388" s="18" t="inlineStr"/>
      <c r="O388" s="7">
        <f>IF(OR(G388&lt;&gt;"",H388&lt;&gt;""),1,0) + IF(OR(I388&lt;&gt;"",J388&lt;&gt;""),1,0) + IF(OR(K388&lt;&gt;"",L388&lt;&gt;""),1,0) + IF(OR(M388&lt;&gt;"",N388&lt;&gt;""),1,0)</f>
        <v/>
      </c>
      <c r="P388" s="5">
        <f>IF(O388=4,"✅ Đủ 4 nhiệm vụ",IF(O388&gt;0,"⏳ Đạt "&amp;O388&amp;"/4","❌ Chưa nộp"))</f>
        <v/>
      </c>
    </row>
    <row r="389">
      <c r="A389" s="5" t="n">
        <v>385</v>
      </c>
      <c r="B389" s="5" t="inlineStr">
        <is>
          <t>Tuần 7</t>
        </is>
      </c>
      <c r="C389" s="5" t="inlineStr">
        <is>
          <t>Thứ 3</t>
        </is>
      </c>
      <c r="D389" s="5" t="inlineStr">
        <is>
          <t>20/10/2026</t>
        </is>
      </c>
      <c r="E389" s="5" t="inlineStr">
        <is>
          <t>Ngày 43</t>
        </is>
      </c>
      <c r="F389" s="6" t="inlineStr">
        <is>
          <t>Thảo Collins Edu</t>
        </is>
      </c>
      <c r="G389" s="18" t="inlineStr"/>
      <c r="H389" s="18" t="inlineStr"/>
      <c r="I389" s="18" t="inlineStr"/>
      <c r="J389" s="18" t="inlineStr"/>
      <c r="K389" s="18" t="inlineStr"/>
      <c r="L389" s="18" t="inlineStr"/>
      <c r="M389" s="18" t="inlineStr"/>
      <c r="N389" s="18" t="inlineStr"/>
      <c r="O389" s="7">
        <f>IF(OR(G389&lt;&gt;"",H389&lt;&gt;""),1,0) + IF(OR(I389&lt;&gt;"",J389&lt;&gt;""),1,0) + IF(OR(K389&lt;&gt;"",L389&lt;&gt;""),1,0) + IF(OR(M389&lt;&gt;"",N389&lt;&gt;""),1,0)</f>
        <v/>
      </c>
      <c r="P389" s="5">
        <f>IF(O389=4,"✅ Đủ 4 nhiệm vụ",IF(O389&gt;0,"⏳ Đạt "&amp;O389&amp;"/4","❌ Chưa nộp"))</f>
        <v/>
      </c>
    </row>
    <row r="390">
      <c r="A390" s="5" t="n">
        <v>386</v>
      </c>
      <c r="B390" s="5" t="inlineStr">
        <is>
          <t>Tuần 7</t>
        </is>
      </c>
      <c r="C390" s="5" t="inlineStr">
        <is>
          <t>Thứ 3</t>
        </is>
      </c>
      <c r="D390" s="5" t="inlineStr">
        <is>
          <t>20/10/2026</t>
        </is>
      </c>
      <c r="E390" s="5" t="inlineStr">
        <is>
          <t>Ngày 43</t>
        </is>
      </c>
      <c r="F390" s="6" t="inlineStr">
        <is>
          <t>Trần Quế Lam</t>
        </is>
      </c>
      <c r="G390" s="18" t="inlineStr"/>
      <c r="H390" s="18" t="inlineStr"/>
      <c r="I390" s="18" t="inlineStr"/>
      <c r="J390" s="18" t="inlineStr"/>
      <c r="K390" s="18" t="inlineStr"/>
      <c r="L390" s="18" t="inlineStr"/>
      <c r="M390" s="18" t="inlineStr"/>
      <c r="N390" s="18" t="inlineStr"/>
      <c r="O390" s="7">
        <f>IF(OR(G390&lt;&gt;"",H390&lt;&gt;""),1,0) + IF(OR(I390&lt;&gt;"",J390&lt;&gt;""),1,0) + IF(OR(K390&lt;&gt;"",L390&lt;&gt;""),1,0) + IF(OR(M390&lt;&gt;"",N390&lt;&gt;""),1,0)</f>
        <v/>
      </c>
      <c r="P390" s="5">
        <f>IF(O390=4,"✅ Đủ 4 nhiệm vụ",IF(O390&gt;0,"⏳ Đạt "&amp;O390&amp;"/4","❌ Chưa nộp"))</f>
        <v/>
      </c>
    </row>
    <row r="391">
      <c r="A391" s="5" t="n">
        <v>387</v>
      </c>
      <c r="B391" s="5" t="inlineStr">
        <is>
          <t>Tuần 7</t>
        </is>
      </c>
      <c r="C391" s="5" t="inlineStr">
        <is>
          <t>Thứ 3</t>
        </is>
      </c>
      <c r="D391" s="5" t="inlineStr">
        <is>
          <t>20/10/2026</t>
        </is>
      </c>
      <c r="E391" s="5" t="inlineStr">
        <is>
          <t>Ngày 43</t>
        </is>
      </c>
      <c r="F391" s="6" t="inlineStr">
        <is>
          <t>Phạm Huyền</t>
        </is>
      </c>
      <c r="G391" s="18" t="inlineStr"/>
      <c r="H391" s="18" t="inlineStr"/>
      <c r="I391" s="18" t="inlineStr"/>
      <c r="J391" s="18" t="inlineStr"/>
      <c r="K391" s="18" t="inlineStr"/>
      <c r="L391" s="18" t="inlineStr"/>
      <c r="M391" s="18" t="inlineStr"/>
      <c r="N391" s="18" t="inlineStr"/>
      <c r="O391" s="7">
        <f>IF(OR(G391&lt;&gt;"",H391&lt;&gt;""),1,0) + IF(OR(I391&lt;&gt;"",J391&lt;&gt;""),1,0) + IF(OR(K391&lt;&gt;"",L391&lt;&gt;""),1,0) + IF(OR(M391&lt;&gt;"",N391&lt;&gt;""),1,0)</f>
        <v/>
      </c>
      <c r="P391" s="5">
        <f>IF(O391=4,"✅ Đủ 4 nhiệm vụ",IF(O391&gt;0,"⏳ Đạt "&amp;O391&amp;"/4","❌ Chưa nộp"))</f>
        <v/>
      </c>
    </row>
    <row r="392">
      <c r="A392" s="9" t="n">
        <v>388</v>
      </c>
      <c r="B392" s="9" t="inlineStr">
        <is>
          <t>Tuần 7</t>
        </is>
      </c>
      <c r="C392" s="9" t="inlineStr">
        <is>
          <t>Thứ 4</t>
        </is>
      </c>
      <c r="D392" s="9" t="inlineStr">
        <is>
          <t>21/10/2026</t>
        </is>
      </c>
      <c r="E392" s="9" t="inlineStr">
        <is>
          <t>Ngày 44</t>
        </is>
      </c>
      <c r="F392" s="10" t="inlineStr">
        <is>
          <t>Nancy</t>
        </is>
      </c>
      <c r="G392" s="19" t="inlineStr"/>
      <c r="H392" s="19" t="inlineStr"/>
      <c r="I392" s="19" t="inlineStr"/>
      <c r="J392" s="19" t="inlineStr"/>
      <c r="K392" s="19" t="inlineStr"/>
      <c r="L392" s="19" t="inlineStr"/>
      <c r="M392" s="19" t="inlineStr"/>
      <c r="N392" s="19" t="inlineStr"/>
      <c r="O392" s="11">
        <f>IF(OR(G392&lt;&gt;"",H392&lt;&gt;""),1,0) + IF(OR(I392&lt;&gt;"",J392&lt;&gt;""),1,0) + IF(OR(K392&lt;&gt;"",L392&lt;&gt;""),1,0) + IF(OR(M392&lt;&gt;"",N392&lt;&gt;""),1,0)</f>
        <v/>
      </c>
      <c r="P392" s="9">
        <f>IF(O392=4,"✅ Đủ 4 nhiệm vụ",IF(O392&gt;0,"⏳ Đạt "&amp;O392&amp;"/4","❌ Chưa nộp"))</f>
        <v/>
      </c>
    </row>
    <row r="393">
      <c r="A393" s="9" t="n">
        <v>389</v>
      </c>
      <c r="B393" s="9" t="inlineStr">
        <is>
          <t>Tuần 7</t>
        </is>
      </c>
      <c r="C393" s="9" t="inlineStr">
        <is>
          <t>Thứ 4</t>
        </is>
      </c>
      <c r="D393" s="9" t="inlineStr">
        <is>
          <t>21/10/2026</t>
        </is>
      </c>
      <c r="E393" s="9" t="inlineStr">
        <is>
          <t>Ngày 44</t>
        </is>
      </c>
      <c r="F393" s="10" t="inlineStr">
        <is>
          <t>Hoài Học Mãi</t>
        </is>
      </c>
      <c r="G393" s="19" t="inlineStr"/>
      <c r="H393" s="19" t="inlineStr"/>
      <c r="I393" s="19" t="inlineStr"/>
      <c r="J393" s="19" t="inlineStr"/>
      <c r="K393" s="19" t="inlineStr"/>
      <c r="L393" s="19" t="inlineStr"/>
      <c r="M393" s="19" t="inlineStr"/>
      <c r="N393" s="19" t="inlineStr"/>
      <c r="O393" s="11">
        <f>IF(OR(G393&lt;&gt;"",H393&lt;&gt;""),1,0) + IF(OR(I393&lt;&gt;"",J393&lt;&gt;""),1,0) + IF(OR(K393&lt;&gt;"",L393&lt;&gt;""),1,0) + IF(OR(M393&lt;&gt;"",N393&lt;&gt;""),1,0)</f>
        <v/>
      </c>
      <c r="P393" s="9">
        <f>IF(O393=4,"✅ Đủ 4 nhiệm vụ",IF(O393&gt;0,"⏳ Đạt "&amp;O393&amp;"/4","❌ Chưa nộp"))</f>
        <v/>
      </c>
    </row>
    <row r="394">
      <c r="A394" s="9" t="n">
        <v>390</v>
      </c>
      <c r="B394" s="9" t="inlineStr">
        <is>
          <t>Tuần 7</t>
        </is>
      </c>
      <c r="C394" s="9" t="inlineStr">
        <is>
          <t>Thứ 4</t>
        </is>
      </c>
      <c r="D394" s="9" t="inlineStr">
        <is>
          <t>21/10/2026</t>
        </is>
      </c>
      <c r="E394" s="9" t="inlineStr">
        <is>
          <t>Ngày 44</t>
        </is>
      </c>
      <c r="F394" s="10" t="inlineStr">
        <is>
          <t>Lambee</t>
        </is>
      </c>
      <c r="G394" s="19" t="inlineStr"/>
      <c r="H394" s="19" t="inlineStr"/>
      <c r="I394" s="19" t="inlineStr"/>
      <c r="J394" s="19" t="inlineStr"/>
      <c r="K394" s="19" t="inlineStr"/>
      <c r="L394" s="19" t="inlineStr"/>
      <c r="M394" s="19" t="inlineStr"/>
      <c r="N394" s="19" t="inlineStr"/>
      <c r="O394" s="11">
        <f>IF(OR(G394&lt;&gt;"",H394&lt;&gt;""),1,0) + IF(OR(I394&lt;&gt;"",J394&lt;&gt;""),1,0) + IF(OR(K394&lt;&gt;"",L394&lt;&gt;""),1,0) + IF(OR(M394&lt;&gt;"",N394&lt;&gt;""),1,0)</f>
        <v/>
      </c>
      <c r="P394" s="9">
        <f>IF(O394=4,"✅ Đủ 4 nhiệm vụ",IF(O394&gt;0,"⏳ Đạt "&amp;O394&amp;"/4","❌ Chưa nộp"))</f>
        <v/>
      </c>
    </row>
    <row r="395">
      <c r="A395" s="9" t="n">
        <v>391</v>
      </c>
      <c r="B395" s="9" t="inlineStr">
        <is>
          <t>Tuần 7</t>
        </is>
      </c>
      <c r="C395" s="9" t="inlineStr">
        <is>
          <t>Thứ 4</t>
        </is>
      </c>
      <c r="D395" s="9" t="inlineStr">
        <is>
          <t>21/10/2026</t>
        </is>
      </c>
      <c r="E395" s="9" t="inlineStr">
        <is>
          <t>Ngày 44</t>
        </is>
      </c>
      <c r="F395" s="10" t="inlineStr">
        <is>
          <t>Nhung Hoàng</t>
        </is>
      </c>
      <c r="G395" s="19" t="inlineStr"/>
      <c r="H395" s="19" t="inlineStr"/>
      <c r="I395" s="19" t="inlineStr"/>
      <c r="J395" s="19" t="inlineStr"/>
      <c r="K395" s="19" t="inlineStr"/>
      <c r="L395" s="19" t="inlineStr"/>
      <c r="M395" s="19" t="inlineStr"/>
      <c r="N395" s="19" t="inlineStr"/>
      <c r="O395" s="11">
        <f>IF(OR(G395&lt;&gt;"",H395&lt;&gt;""),1,0) + IF(OR(I395&lt;&gt;"",J395&lt;&gt;""),1,0) + IF(OR(K395&lt;&gt;"",L395&lt;&gt;""),1,0) + IF(OR(M395&lt;&gt;"",N395&lt;&gt;""),1,0)</f>
        <v/>
      </c>
      <c r="P395" s="9">
        <f>IF(O395=4,"✅ Đủ 4 nhiệm vụ",IF(O395&gt;0,"⏳ Đạt "&amp;O395&amp;"/4","❌ Chưa nộp"))</f>
        <v/>
      </c>
    </row>
    <row r="396">
      <c r="A396" s="9" t="n">
        <v>392</v>
      </c>
      <c r="B396" s="9" t="inlineStr">
        <is>
          <t>Tuần 7</t>
        </is>
      </c>
      <c r="C396" s="9" t="inlineStr">
        <is>
          <t>Thứ 4</t>
        </is>
      </c>
      <c r="D396" s="9" t="inlineStr">
        <is>
          <t>21/10/2026</t>
        </is>
      </c>
      <c r="E396" s="9" t="inlineStr">
        <is>
          <t>Ngày 44</t>
        </is>
      </c>
      <c r="F396" s="10" t="inlineStr">
        <is>
          <t>Quỳnh Thu</t>
        </is>
      </c>
      <c r="G396" s="19" t="inlineStr"/>
      <c r="H396" s="19" t="inlineStr"/>
      <c r="I396" s="19" t="inlineStr"/>
      <c r="J396" s="19" t="inlineStr"/>
      <c r="K396" s="19" t="inlineStr"/>
      <c r="L396" s="19" t="inlineStr"/>
      <c r="M396" s="19" t="inlineStr"/>
      <c r="N396" s="19" t="inlineStr"/>
      <c r="O396" s="11">
        <f>IF(OR(G396&lt;&gt;"",H396&lt;&gt;""),1,0) + IF(OR(I396&lt;&gt;"",J396&lt;&gt;""),1,0) + IF(OR(K396&lt;&gt;"",L396&lt;&gt;""),1,0) + IF(OR(M396&lt;&gt;"",N396&lt;&gt;""),1,0)</f>
        <v/>
      </c>
      <c r="P396" s="9">
        <f>IF(O396=4,"✅ Đủ 4 nhiệm vụ",IF(O396&gt;0,"⏳ Đạt "&amp;O396&amp;"/4","❌ Chưa nộp"))</f>
        <v/>
      </c>
    </row>
    <row r="397">
      <c r="A397" s="9" t="n">
        <v>393</v>
      </c>
      <c r="B397" s="9" t="inlineStr">
        <is>
          <t>Tuần 7</t>
        </is>
      </c>
      <c r="C397" s="9" t="inlineStr">
        <is>
          <t>Thứ 4</t>
        </is>
      </c>
      <c r="D397" s="9" t="inlineStr">
        <is>
          <t>21/10/2026</t>
        </is>
      </c>
      <c r="E397" s="9" t="inlineStr">
        <is>
          <t>Ngày 44</t>
        </is>
      </c>
      <c r="F397" s="10" t="inlineStr">
        <is>
          <t>TanAnh Pham</t>
        </is>
      </c>
      <c r="G397" s="19" t="inlineStr"/>
      <c r="H397" s="19" t="inlineStr"/>
      <c r="I397" s="19" t="inlineStr"/>
      <c r="J397" s="19" t="inlineStr"/>
      <c r="K397" s="19" t="inlineStr"/>
      <c r="L397" s="19" t="inlineStr"/>
      <c r="M397" s="19" t="inlineStr"/>
      <c r="N397" s="19" t="inlineStr"/>
      <c r="O397" s="11">
        <f>IF(OR(G397&lt;&gt;"",H397&lt;&gt;""),1,0) + IF(OR(I397&lt;&gt;"",J397&lt;&gt;""),1,0) + IF(OR(K397&lt;&gt;"",L397&lt;&gt;""),1,0) + IF(OR(M397&lt;&gt;"",N397&lt;&gt;""),1,0)</f>
        <v/>
      </c>
      <c r="P397" s="9">
        <f>IF(O397=4,"✅ Đủ 4 nhiệm vụ",IF(O397&gt;0,"⏳ Đạt "&amp;O397&amp;"/4","❌ Chưa nộp"))</f>
        <v/>
      </c>
    </row>
    <row r="398">
      <c r="A398" s="9" t="n">
        <v>394</v>
      </c>
      <c r="B398" s="9" t="inlineStr">
        <is>
          <t>Tuần 7</t>
        </is>
      </c>
      <c r="C398" s="9" t="inlineStr">
        <is>
          <t>Thứ 4</t>
        </is>
      </c>
      <c r="D398" s="9" t="inlineStr">
        <is>
          <t>21/10/2026</t>
        </is>
      </c>
      <c r="E398" s="9" t="inlineStr">
        <is>
          <t>Ngày 44</t>
        </is>
      </c>
      <c r="F398" s="10" t="inlineStr">
        <is>
          <t>Thảo Collins Edu</t>
        </is>
      </c>
      <c r="G398" s="19" t="inlineStr"/>
      <c r="H398" s="19" t="inlineStr"/>
      <c r="I398" s="19" t="inlineStr"/>
      <c r="J398" s="19" t="inlineStr"/>
      <c r="K398" s="19" t="inlineStr"/>
      <c r="L398" s="19" t="inlineStr"/>
      <c r="M398" s="19" t="inlineStr"/>
      <c r="N398" s="19" t="inlineStr"/>
      <c r="O398" s="11">
        <f>IF(OR(G398&lt;&gt;"",H398&lt;&gt;""),1,0) + IF(OR(I398&lt;&gt;"",J398&lt;&gt;""),1,0) + IF(OR(K398&lt;&gt;"",L398&lt;&gt;""),1,0) + IF(OR(M398&lt;&gt;"",N398&lt;&gt;""),1,0)</f>
        <v/>
      </c>
      <c r="P398" s="9">
        <f>IF(O398=4,"✅ Đủ 4 nhiệm vụ",IF(O398&gt;0,"⏳ Đạt "&amp;O398&amp;"/4","❌ Chưa nộp"))</f>
        <v/>
      </c>
    </row>
    <row r="399">
      <c r="A399" s="9" t="n">
        <v>395</v>
      </c>
      <c r="B399" s="9" t="inlineStr">
        <is>
          <t>Tuần 7</t>
        </is>
      </c>
      <c r="C399" s="9" t="inlineStr">
        <is>
          <t>Thứ 4</t>
        </is>
      </c>
      <c r="D399" s="9" t="inlineStr">
        <is>
          <t>21/10/2026</t>
        </is>
      </c>
      <c r="E399" s="9" t="inlineStr">
        <is>
          <t>Ngày 44</t>
        </is>
      </c>
      <c r="F399" s="10" t="inlineStr">
        <is>
          <t>Trần Quế Lam</t>
        </is>
      </c>
      <c r="G399" s="19" t="inlineStr"/>
      <c r="H399" s="19" t="inlineStr"/>
      <c r="I399" s="19" t="inlineStr"/>
      <c r="J399" s="19" t="inlineStr"/>
      <c r="K399" s="19" t="inlineStr"/>
      <c r="L399" s="19" t="inlineStr"/>
      <c r="M399" s="19" t="inlineStr"/>
      <c r="N399" s="19" t="inlineStr"/>
      <c r="O399" s="11">
        <f>IF(OR(G399&lt;&gt;"",H399&lt;&gt;""),1,0) + IF(OR(I399&lt;&gt;"",J399&lt;&gt;""),1,0) + IF(OR(K399&lt;&gt;"",L399&lt;&gt;""),1,0) + IF(OR(M399&lt;&gt;"",N399&lt;&gt;""),1,0)</f>
        <v/>
      </c>
      <c r="P399" s="9">
        <f>IF(O399=4,"✅ Đủ 4 nhiệm vụ",IF(O399&gt;0,"⏳ Đạt "&amp;O399&amp;"/4","❌ Chưa nộp"))</f>
        <v/>
      </c>
    </row>
    <row r="400">
      <c r="A400" s="9" t="n">
        <v>396</v>
      </c>
      <c r="B400" s="9" t="inlineStr">
        <is>
          <t>Tuần 7</t>
        </is>
      </c>
      <c r="C400" s="9" t="inlineStr">
        <is>
          <t>Thứ 4</t>
        </is>
      </c>
      <c r="D400" s="9" t="inlineStr">
        <is>
          <t>21/10/2026</t>
        </is>
      </c>
      <c r="E400" s="9" t="inlineStr">
        <is>
          <t>Ngày 44</t>
        </is>
      </c>
      <c r="F400" s="10" t="inlineStr">
        <is>
          <t>Phạm Huyền</t>
        </is>
      </c>
      <c r="G400" s="19" t="inlineStr"/>
      <c r="H400" s="19" t="inlineStr"/>
      <c r="I400" s="19" t="inlineStr"/>
      <c r="J400" s="19" t="inlineStr"/>
      <c r="K400" s="19" t="inlineStr"/>
      <c r="L400" s="19" t="inlineStr"/>
      <c r="M400" s="19" t="inlineStr"/>
      <c r="N400" s="19" t="inlineStr"/>
      <c r="O400" s="11">
        <f>IF(OR(G400&lt;&gt;"",H400&lt;&gt;""),1,0) + IF(OR(I400&lt;&gt;"",J400&lt;&gt;""),1,0) + IF(OR(K400&lt;&gt;"",L400&lt;&gt;""),1,0) + IF(OR(M400&lt;&gt;"",N400&lt;&gt;""),1,0)</f>
        <v/>
      </c>
      <c r="P400" s="9">
        <f>IF(O400=4,"✅ Đủ 4 nhiệm vụ",IF(O400&gt;0,"⏳ Đạt "&amp;O400&amp;"/4","❌ Chưa nộp"))</f>
        <v/>
      </c>
    </row>
    <row r="401">
      <c r="A401" s="5" t="n">
        <v>397</v>
      </c>
      <c r="B401" s="5" t="inlineStr">
        <is>
          <t>Tuần 7</t>
        </is>
      </c>
      <c r="C401" s="5" t="inlineStr">
        <is>
          <t>Thứ 5</t>
        </is>
      </c>
      <c r="D401" s="5" t="inlineStr">
        <is>
          <t>22/10/2026</t>
        </is>
      </c>
      <c r="E401" s="5" t="inlineStr">
        <is>
          <t>Ngày 45</t>
        </is>
      </c>
      <c r="F401" s="6" t="inlineStr">
        <is>
          <t>Nancy</t>
        </is>
      </c>
      <c r="G401" s="18" t="inlineStr"/>
      <c r="H401" s="18" t="inlineStr"/>
      <c r="I401" s="18" t="inlineStr"/>
      <c r="J401" s="18" t="inlineStr"/>
      <c r="K401" s="18" t="inlineStr"/>
      <c r="L401" s="18" t="inlineStr"/>
      <c r="M401" s="18" t="inlineStr"/>
      <c r="N401" s="18" t="inlineStr"/>
      <c r="O401" s="7">
        <f>IF(OR(G401&lt;&gt;"",H401&lt;&gt;""),1,0) + IF(OR(I401&lt;&gt;"",J401&lt;&gt;""),1,0) + IF(OR(K401&lt;&gt;"",L401&lt;&gt;""),1,0) + IF(OR(M401&lt;&gt;"",N401&lt;&gt;""),1,0)</f>
        <v/>
      </c>
      <c r="P401" s="5">
        <f>IF(O401=4,"✅ Đủ 4 nhiệm vụ",IF(O401&gt;0,"⏳ Đạt "&amp;O401&amp;"/4","❌ Chưa nộp"))</f>
        <v/>
      </c>
    </row>
    <row r="402">
      <c r="A402" s="5" t="n">
        <v>398</v>
      </c>
      <c r="B402" s="5" t="inlineStr">
        <is>
          <t>Tuần 7</t>
        </is>
      </c>
      <c r="C402" s="5" t="inlineStr">
        <is>
          <t>Thứ 5</t>
        </is>
      </c>
      <c r="D402" s="5" t="inlineStr">
        <is>
          <t>22/10/2026</t>
        </is>
      </c>
      <c r="E402" s="5" t="inlineStr">
        <is>
          <t>Ngày 45</t>
        </is>
      </c>
      <c r="F402" s="6" t="inlineStr">
        <is>
          <t>Hoài Học Mãi</t>
        </is>
      </c>
      <c r="G402" s="18" t="inlineStr"/>
      <c r="H402" s="18" t="inlineStr"/>
      <c r="I402" s="18" t="inlineStr"/>
      <c r="J402" s="18" t="inlineStr"/>
      <c r="K402" s="18" t="inlineStr"/>
      <c r="L402" s="18" t="inlineStr"/>
      <c r="M402" s="18" t="inlineStr"/>
      <c r="N402" s="18" t="inlineStr"/>
      <c r="O402" s="7">
        <f>IF(OR(G402&lt;&gt;"",H402&lt;&gt;""),1,0) + IF(OR(I402&lt;&gt;"",J402&lt;&gt;""),1,0) + IF(OR(K402&lt;&gt;"",L402&lt;&gt;""),1,0) + IF(OR(M402&lt;&gt;"",N402&lt;&gt;""),1,0)</f>
        <v/>
      </c>
      <c r="P402" s="5">
        <f>IF(O402=4,"✅ Đủ 4 nhiệm vụ",IF(O402&gt;0,"⏳ Đạt "&amp;O402&amp;"/4","❌ Chưa nộp"))</f>
        <v/>
      </c>
    </row>
    <row r="403">
      <c r="A403" s="5" t="n">
        <v>399</v>
      </c>
      <c r="B403" s="5" t="inlineStr">
        <is>
          <t>Tuần 7</t>
        </is>
      </c>
      <c r="C403" s="5" t="inlineStr">
        <is>
          <t>Thứ 5</t>
        </is>
      </c>
      <c r="D403" s="5" t="inlineStr">
        <is>
          <t>22/10/2026</t>
        </is>
      </c>
      <c r="E403" s="5" t="inlineStr">
        <is>
          <t>Ngày 45</t>
        </is>
      </c>
      <c r="F403" s="6" t="inlineStr">
        <is>
          <t>Lambee</t>
        </is>
      </c>
      <c r="G403" s="18" t="inlineStr"/>
      <c r="H403" s="18" t="inlineStr"/>
      <c r="I403" s="18" t="inlineStr"/>
      <c r="J403" s="18" t="inlineStr"/>
      <c r="K403" s="18" t="inlineStr"/>
      <c r="L403" s="18" t="inlineStr"/>
      <c r="M403" s="18" t="inlineStr"/>
      <c r="N403" s="18" t="inlineStr"/>
      <c r="O403" s="7">
        <f>IF(OR(G403&lt;&gt;"",H403&lt;&gt;""),1,0) + IF(OR(I403&lt;&gt;"",J403&lt;&gt;""),1,0) + IF(OR(K403&lt;&gt;"",L403&lt;&gt;""),1,0) + IF(OR(M403&lt;&gt;"",N403&lt;&gt;""),1,0)</f>
        <v/>
      </c>
      <c r="P403" s="5">
        <f>IF(O403=4,"✅ Đủ 4 nhiệm vụ",IF(O403&gt;0,"⏳ Đạt "&amp;O403&amp;"/4","❌ Chưa nộp"))</f>
        <v/>
      </c>
    </row>
    <row r="404">
      <c r="A404" s="5" t="n">
        <v>400</v>
      </c>
      <c r="B404" s="5" t="inlineStr">
        <is>
          <t>Tuần 7</t>
        </is>
      </c>
      <c r="C404" s="5" t="inlineStr">
        <is>
          <t>Thứ 5</t>
        </is>
      </c>
      <c r="D404" s="5" t="inlineStr">
        <is>
          <t>22/10/2026</t>
        </is>
      </c>
      <c r="E404" s="5" t="inlineStr">
        <is>
          <t>Ngày 45</t>
        </is>
      </c>
      <c r="F404" s="6" t="inlineStr">
        <is>
          <t>Nhung Hoàng</t>
        </is>
      </c>
      <c r="G404" s="18" t="inlineStr"/>
      <c r="H404" s="18" t="inlineStr"/>
      <c r="I404" s="18" t="inlineStr"/>
      <c r="J404" s="18" t="inlineStr"/>
      <c r="K404" s="18" t="inlineStr"/>
      <c r="L404" s="18" t="inlineStr"/>
      <c r="M404" s="18" t="inlineStr"/>
      <c r="N404" s="18" t="inlineStr"/>
      <c r="O404" s="7">
        <f>IF(OR(G404&lt;&gt;"",H404&lt;&gt;""),1,0) + IF(OR(I404&lt;&gt;"",J404&lt;&gt;""),1,0) + IF(OR(K404&lt;&gt;"",L404&lt;&gt;""),1,0) + IF(OR(M404&lt;&gt;"",N404&lt;&gt;""),1,0)</f>
        <v/>
      </c>
      <c r="P404" s="5">
        <f>IF(O404=4,"✅ Đủ 4 nhiệm vụ",IF(O404&gt;0,"⏳ Đạt "&amp;O404&amp;"/4","❌ Chưa nộp"))</f>
        <v/>
      </c>
    </row>
    <row r="405">
      <c r="A405" s="5" t="n">
        <v>401</v>
      </c>
      <c r="B405" s="5" t="inlineStr">
        <is>
          <t>Tuần 7</t>
        </is>
      </c>
      <c r="C405" s="5" t="inlineStr">
        <is>
          <t>Thứ 5</t>
        </is>
      </c>
      <c r="D405" s="5" t="inlineStr">
        <is>
          <t>22/10/2026</t>
        </is>
      </c>
      <c r="E405" s="5" t="inlineStr">
        <is>
          <t>Ngày 45</t>
        </is>
      </c>
      <c r="F405" s="6" t="inlineStr">
        <is>
          <t>Quỳnh Thu</t>
        </is>
      </c>
      <c r="G405" s="18" t="inlineStr"/>
      <c r="H405" s="18" t="inlineStr"/>
      <c r="I405" s="18" t="inlineStr"/>
      <c r="J405" s="18" t="inlineStr"/>
      <c r="K405" s="18" t="inlineStr"/>
      <c r="L405" s="18" t="inlineStr"/>
      <c r="M405" s="18" t="inlineStr"/>
      <c r="N405" s="18" t="inlineStr"/>
      <c r="O405" s="7">
        <f>IF(OR(G405&lt;&gt;"",H405&lt;&gt;""),1,0) + IF(OR(I405&lt;&gt;"",J405&lt;&gt;""),1,0) + IF(OR(K405&lt;&gt;"",L405&lt;&gt;""),1,0) + IF(OR(M405&lt;&gt;"",N405&lt;&gt;""),1,0)</f>
        <v/>
      </c>
      <c r="P405" s="5">
        <f>IF(O405=4,"✅ Đủ 4 nhiệm vụ",IF(O405&gt;0,"⏳ Đạt "&amp;O405&amp;"/4","❌ Chưa nộp"))</f>
        <v/>
      </c>
    </row>
    <row r="406">
      <c r="A406" s="5" t="n">
        <v>402</v>
      </c>
      <c r="B406" s="5" t="inlineStr">
        <is>
          <t>Tuần 7</t>
        </is>
      </c>
      <c r="C406" s="5" t="inlineStr">
        <is>
          <t>Thứ 5</t>
        </is>
      </c>
      <c r="D406" s="5" t="inlineStr">
        <is>
          <t>22/10/2026</t>
        </is>
      </c>
      <c r="E406" s="5" t="inlineStr">
        <is>
          <t>Ngày 45</t>
        </is>
      </c>
      <c r="F406" s="6" t="inlineStr">
        <is>
          <t>TanAnh Pham</t>
        </is>
      </c>
      <c r="G406" s="18" t="inlineStr"/>
      <c r="H406" s="18" t="inlineStr"/>
      <c r="I406" s="18" t="inlineStr"/>
      <c r="J406" s="18" t="inlineStr"/>
      <c r="K406" s="18" t="inlineStr"/>
      <c r="L406" s="18" t="inlineStr"/>
      <c r="M406" s="18" t="inlineStr"/>
      <c r="N406" s="18" t="inlineStr"/>
      <c r="O406" s="7">
        <f>IF(OR(G406&lt;&gt;"",H406&lt;&gt;""),1,0) + IF(OR(I406&lt;&gt;"",J406&lt;&gt;""),1,0) + IF(OR(K406&lt;&gt;"",L406&lt;&gt;""),1,0) + IF(OR(M406&lt;&gt;"",N406&lt;&gt;""),1,0)</f>
        <v/>
      </c>
      <c r="P406" s="5">
        <f>IF(O406=4,"✅ Đủ 4 nhiệm vụ",IF(O406&gt;0,"⏳ Đạt "&amp;O406&amp;"/4","❌ Chưa nộp"))</f>
        <v/>
      </c>
    </row>
    <row r="407">
      <c r="A407" s="5" t="n">
        <v>403</v>
      </c>
      <c r="B407" s="5" t="inlineStr">
        <is>
          <t>Tuần 7</t>
        </is>
      </c>
      <c r="C407" s="5" t="inlineStr">
        <is>
          <t>Thứ 5</t>
        </is>
      </c>
      <c r="D407" s="5" t="inlineStr">
        <is>
          <t>22/10/2026</t>
        </is>
      </c>
      <c r="E407" s="5" t="inlineStr">
        <is>
          <t>Ngày 45</t>
        </is>
      </c>
      <c r="F407" s="6" t="inlineStr">
        <is>
          <t>Thảo Collins Edu</t>
        </is>
      </c>
      <c r="G407" s="18" t="inlineStr"/>
      <c r="H407" s="18" t="inlineStr"/>
      <c r="I407" s="18" t="inlineStr"/>
      <c r="J407" s="18" t="inlineStr"/>
      <c r="K407" s="18" t="inlineStr"/>
      <c r="L407" s="18" t="inlineStr"/>
      <c r="M407" s="18" t="inlineStr"/>
      <c r="N407" s="18" t="inlineStr"/>
      <c r="O407" s="7">
        <f>IF(OR(G407&lt;&gt;"",H407&lt;&gt;""),1,0) + IF(OR(I407&lt;&gt;"",J407&lt;&gt;""),1,0) + IF(OR(K407&lt;&gt;"",L407&lt;&gt;""),1,0) + IF(OR(M407&lt;&gt;"",N407&lt;&gt;""),1,0)</f>
        <v/>
      </c>
      <c r="P407" s="5">
        <f>IF(O407=4,"✅ Đủ 4 nhiệm vụ",IF(O407&gt;0,"⏳ Đạt "&amp;O407&amp;"/4","❌ Chưa nộp"))</f>
        <v/>
      </c>
    </row>
    <row r="408">
      <c r="A408" s="5" t="n">
        <v>404</v>
      </c>
      <c r="B408" s="5" t="inlineStr">
        <is>
          <t>Tuần 7</t>
        </is>
      </c>
      <c r="C408" s="5" t="inlineStr">
        <is>
          <t>Thứ 5</t>
        </is>
      </c>
      <c r="D408" s="5" t="inlineStr">
        <is>
          <t>22/10/2026</t>
        </is>
      </c>
      <c r="E408" s="5" t="inlineStr">
        <is>
          <t>Ngày 45</t>
        </is>
      </c>
      <c r="F408" s="6" t="inlineStr">
        <is>
          <t>Trần Quế Lam</t>
        </is>
      </c>
      <c r="G408" s="18" t="inlineStr"/>
      <c r="H408" s="18" t="inlineStr"/>
      <c r="I408" s="18" t="inlineStr"/>
      <c r="J408" s="18" t="inlineStr"/>
      <c r="K408" s="18" t="inlineStr"/>
      <c r="L408" s="18" t="inlineStr"/>
      <c r="M408" s="18" t="inlineStr"/>
      <c r="N408" s="18" t="inlineStr"/>
      <c r="O408" s="7">
        <f>IF(OR(G408&lt;&gt;"",H408&lt;&gt;""),1,0) + IF(OR(I408&lt;&gt;"",J408&lt;&gt;""),1,0) + IF(OR(K408&lt;&gt;"",L408&lt;&gt;""),1,0) + IF(OR(M408&lt;&gt;"",N408&lt;&gt;""),1,0)</f>
        <v/>
      </c>
      <c r="P408" s="5">
        <f>IF(O408=4,"✅ Đủ 4 nhiệm vụ",IF(O408&gt;0,"⏳ Đạt "&amp;O408&amp;"/4","❌ Chưa nộp"))</f>
        <v/>
      </c>
    </row>
    <row r="409">
      <c r="A409" s="5" t="n">
        <v>405</v>
      </c>
      <c r="B409" s="5" t="inlineStr">
        <is>
          <t>Tuần 7</t>
        </is>
      </c>
      <c r="C409" s="5" t="inlineStr">
        <is>
          <t>Thứ 5</t>
        </is>
      </c>
      <c r="D409" s="5" t="inlineStr">
        <is>
          <t>22/10/2026</t>
        </is>
      </c>
      <c r="E409" s="5" t="inlineStr">
        <is>
          <t>Ngày 45</t>
        </is>
      </c>
      <c r="F409" s="6" t="inlineStr">
        <is>
          <t>Phạm Huyền</t>
        </is>
      </c>
      <c r="G409" s="18" t="inlineStr"/>
      <c r="H409" s="18" t="inlineStr"/>
      <c r="I409" s="18" t="inlineStr"/>
      <c r="J409" s="18" t="inlineStr"/>
      <c r="K409" s="18" t="inlineStr"/>
      <c r="L409" s="18" t="inlineStr"/>
      <c r="M409" s="18" t="inlineStr"/>
      <c r="N409" s="18" t="inlineStr"/>
      <c r="O409" s="7">
        <f>IF(OR(G409&lt;&gt;"",H409&lt;&gt;""),1,0) + IF(OR(I409&lt;&gt;"",J409&lt;&gt;""),1,0) + IF(OR(K409&lt;&gt;"",L409&lt;&gt;""),1,0) + IF(OR(M409&lt;&gt;"",N409&lt;&gt;""),1,0)</f>
        <v/>
      </c>
      <c r="P409" s="5">
        <f>IF(O409=4,"✅ Đủ 4 nhiệm vụ",IF(O409&gt;0,"⏳ Đạt "&amp;O409&amp;"/4","❌ Chưa nộp"))</f>
        <v/>
      </c>
    </row>
    <row r="410">
      <c r="A410" s="9" t="n">
        <v>406</v>
      </c>
      <c r="B410" s="9" t="inlineStr">
        <is>
          <t>Tuần 7</t>
        </is>
      </c>
      <c r="C410" s="9" t="inlineStr">
        <is>
          <t>Thứ 6</t>
        </is>
      </c>
      <c r="D410" s="9" t="inlineStr">
        <is>
          <t>23/10/2026</t>
        </is>
      </c>
      <c r="E410" s="9" t="inlineStr">
        <is>
          <t>Ngày 46</t>
        </is>
      </c>
      <c r="F410" s="10" t="inlineStr">
        <is>
          <t>Nancy</t>
        </is>
      </c>
      <c r="G410" s="19" t="inlineStr"/>
      <c r="H410" s="19" t="inlineStr"/>
      <c r="I410" s="19" t="inlineStr"/>
      <c r="J410" s="19" t="inlineStr"/>
      <c r="K410" s="19" t="inlineStr"/>
      <c r="L410" s="19" t="inlineStr"/>
      <c r="M410" s="19" t="inlineStr"/>
      <c r="N410" s="19" t="inlineStr"/>
      <c r="O410" s="11">
        <f>IF(OR(G410&lt;&gt;"",H410&lt;&gt;""),1,0) + IF(OR(I410&lt;&gt;"",J410&lt;&gt;""),1,0) + IF(OR(K410&lt;&gt;"",L410&lt;&gt;""),1,0) + IF(OR(M410&lt;&gt;"",N410&lt;&gt;""),1,0)</f>
        <v/>
      </c>
      <c r="P410" s="9">
        <f>IF(O410=4,"✅ Đủ 4 nhiệm vụ",IF(O410&gt;0,"⏳ Đạt "&amp;O410&amp;"/4","❌ Chưa nộp"))</f>
        <v/>
      </c>
    </row>
    <row r="411">
      <c r="A411" s="9" t="n">
        <v>407</v>
      </c>
      <c r="B411" s="9" t="inlineStr">
        <is>
          <t>Tuần 7</t>
        </is>
      </c>
      <c r="C411" s="9" t="inlineStr">
        <is>
          <t>Thứ 6</t>
        </is>
      </c>
      <c r="D411" s="9" t="inlineStr">
        <is>
          <t>23/10/2026</t>
        </is>
      </c>
      <c r="E411" s="9" t="inlineStr">
        <is>
          <t>Ngày 46</t>
        </is>
      </c>
      <c r="F411" s="10" t="inlineStr">
        <is>
          <t>Hoài Học Mãi</t>
        </is>
      </c>
      <c r="G411" s="19" t="inlineStr"/>
      <c r="H411" s="19" t="inlineStr"/>
      <c r="I411" s="19" t="inlineStr"/>
      <c r="J411" s="19" t="inlineStr"/>
      <c r="K411" s="19" t="inlineStr"/>
      <c r="L411" s="19" t="inlineStr"/>
      <c r="M411" s="19" t="inlineStr"/>
      <c r="N411" s="19" t="inlineStr"/>
      <c r="O411" s="11">
        <f>IF(OR(G411&lt;&gt;"",H411&lt;&gt;""),1,0) + IF(OR(I411&lt;&gt;"",J411&lt;&gt;""),1,0) + IF(OR(K411&lt;&gt;"",L411&lt;&gt;""),1,0) + IF(OR(M411&lt;&gt;"",N411&lt;&gt;""),1,0)</f>
        <v/>
      </c>
      <c r="P411" s="9">
        <f>IF(O411=4,"✅ Đủ 4 nhiệm vụ",IF(O411&gt;0,"⏳ Đạt "&amp;O411&amp;"/4","❌ Chưa nộp"))</f>
        <v/>
      </c>
    </row>
    <row r="412">
      <c r="A412" s="9" t="n">
        <v>408</v>
      </c>
      <c r="B412" s="9" t="inlineStr">
        <is>
          <t>Tuần 7</t>
        </is>
      </c>
      <c r="C412" s="9" t="inlineStr">
        <is>
          <t>Thứ 6</t>
        </is>
      </c>
      <c r="D412" s="9" t="inlineStr">
        <is>
          <t>23/10/2026</t>
        </is>
      </c>
      <c r="E412" s="9" t="inlineStr">
        <is>
          <t>Ngày 46</t>
        </is>
      </c>
      <c r="F412" s="10" t="inlineStr">
        <is>
          <t>Lambee</t>
        </is>
      </c>
      <c r="G412" s="19" t="inlineStr"/>
      <c r="H412" s="19" t="inlineStr"/>
      <c r="I412" s="19" t="inlineStr"/>
      <c r="J412" s="19" t="inlineStr"/>
      <c r="K412" s="19" t="inlineStr"/>
      <c r="L412" s="19" t="inlineStr"/>
      <c r="M412" s="19" t="inlineStr"/>
      <c r="N412" s="19" t="inlineStr"/>
      <c r="O412" s="11">
        <f>IF(OR(G412&lt;&gt;"",H412&lt;&gt;""),1,0) + IF(OR(I412&lt;&gt;"",J412&lt;&gt;""),1,0) + IF(OR(K412&lt;&gt;"",L412&lt;&gt;""),1,0) + IF(OR(M412&lt;&gt;"",N412&lt;&gt;""),1,0)</f>
        <v/>
      </c>
      <c r="P412" s="9">
        <f>IF(O412=4,"✅ Đủ 4 nhiệm vụ",IF(O412&gt;0,"⏳ Đạt "&amp;O412&amp;"/4","❌ Chưa nộp"))</f>
        <v/>
      </c>
    </row>
    <row r="413">
      <c r="A413" s="9" t="n">
        <v>409</v>
      </c>
      <c r="B413" s="9" t="inlineStr">
        <is>
          <t>Tuần 7</t>
        </is>
      </c>
      <c r="C413" s="9" t="inlineStr">
        <is>
          <t>Thứ 6</t>
        </is>
      </c>
      <c r="D413" s="9" t="inlineStr">
        <is>
          <t>23/10/2026</t>
        </is>
      </c>
      <c r="E413" s="9" t="inlineStr">
        <is>
          <t>Ngày 46</t>
        </is>
      </c>
      <c r="F413" s="10" t="inlineStr">
        <is>
          <t>Nhung Hoàng</t>
        </is>
      </c>
      <c r="G413" s="19" t="inlineStr"/>
      <c r="H413" s="19" t="inlineStr"/>
      <c r="I413" s="19" t="inlineStr"/>
      <c r="J413" s="19" t="inlineStr"/>
      <c r="K413" s="19" t="inlineStr"/>
      <c r="L413" s="19" t="inlineStr"/>
      <c r="M413" s="19" t="inlineStr"/>
      <c r="N413" s="19" t="inlineStr"/>
      <c r="O413" s="11">
        <f>IF(OR(G413&lt;&gt;"",H413&lt;&gt;""),1,0) + IF(OR(I413&lt;&gt;"",J413&lt;&gt;""),1,0) + IF(OR(K413&lt;&gt;"",L413&lt;&gt;""),1,0) + IF(OR(M413&lt;&gt;"",N413&lt;&gt;""),1,0)</f>
        <v/>
      </c>
      <c r="P413" s="9">
        <f>IF(O413=4,"✅ Đủ 4 nhiệm vụ",IF(O413&gt;0,"⏳ Đạt "&amp;O413&amp;"/4","❌ Chưa nộp"))</f>
        <v/>
      </c>
    </row>
    <row r="414">
      <c r="A414" s="9" t="n">
        <v>410</v>
      </c>
      <c r="B414" s="9" t="inlineStr">
        <is>
          <t>Tuần 7</t>
        </is>
      </c>
      <c r="C414" s="9" t="inlineStr">
        <is>
          <t>Thứ 6</t>
        </is>
      </c>
      <c r="D414" s="9" t="inlineStr">
        <is>
          <t>23/10/2026</t>
        </is>
      </c>
      <c r="E414" s="9" t="inlineStr">
        <is>
          <t>Ngày 46</t>
        </is>
      </c>
      <c r="F414" s="10" t="inlineStr">
        <is>
          <t>Quỳnh Thu</t>
        </is>
      </c>
      <c r="G414" s="19" t="inlineStr"/>
      <c r="H414" s="19" t="inlineStr"/>
      <c r="I414" s="19" t="inlineStr"/>
      <c r="J414" s="19" t="inlineStr"/>
      <c r="K414" s="19" t="inlineStr"/>
      <c r="L414" s="19" t="inlineStr"/>
      <c r="M414" s="19" t="inlineStr"/>
      <c r="N414" s="19" t="inlineStr"/>
      <c r="O414" s="11">
        <f>IF(OR(G414&lt;&gt;"",H414&lt;&gt;""),1,0) + IF(OR(I414&lt;&gt;"",J414&lt;&gt;""),1,0) + IF(OR(K414&lt;&gt;"",L414&lt;&gt;""),1,0) + IF(OR(M414&lt;&gt;"",N414&lt;&gt;""),1,0)</f>
        <v/>
      </c>
      <c r="P414" s="9">
        <f>IF(O414=4,"✅ Đủ 4 nhiệm vụ",IF(O414&gt;0,"⏳ Đạt "&amp;O414&amp;"/4","❌ Chưa nộp"))</f>
        <v/>
      </c>
    </row>
    <row r="415">
      <c r="A415" s="9" t="n">
        <v>411</v>
      </c>
      <c r="B415" s="9" t="inlineStr">
        <is>
          <t>Tuần 7</t>
        </is>
      </c>
      <c r="C415" s="9" t="inlineStr">
        <is>
          <t>Thứ 6</t>
        </is>
      </c>
      <c r="D415" s="9" t="inlineStr">
        <is>
          <t>23/10/2026</t>
        </is>
      </c>
      <c r="E415" s="9" t="inlineStr">
        <is>
          <t>Ngày 46</t>
        </is>
      </c>
      <c r="F415" s="10" t="inlineStr">
        <is>
          <t>TanAnh Pham</t>
        </is>
      </c>
      <c r="G415" s="19" t="inlineStr"/>
      <c r="H415" s="19" t="inlineStr"/>
      <c r="I415" s="19" t="inlineStr"/>
      <c r="J415" s="19" t="inlineStr"/>
      <c r="K415" s="19" t="inlineStr"/>
      <c r="L415" s="19" t="inlineStr"/>
      <c r="M415" s="19" t="inlineStr"/>
      <c r="N415" s="19" t="inlineStr"/>
      <c r="O415" s="11">
        <f>IF(OR(G415&lt;&gt;"",H415&lt;&gt;""),1,0) + IF(OR(I415&lt;&gt;"",J415&lt;&gt;""),1,0) + IF(OR(K415&lt;&gt;"",L415&lt;&gt;""),1,0) + IF(OR(M415&lt;&gt;"",N415&lt;&gt;""),1,0)</f>
        <v/>
      </c>
      <c r="P415" s="9">
        <f>IF(O415=4,"✅ Đủ 4 nhiệm vụ",IF(O415&gt;0,"⏳ Đạt "&amp;O415&amp;"/4","❌ Chưa nộp"))</f>
        <v/>
      </c>
    </row>
    <row r="416">
      <c r="A416" s="9" t="n">
        <v>412</v>
      </c>
      <c r="B416" s="9" t="inlineStr">
        <is>
          <t>Tuần 7</t>
        </is>
      </c>
      <c r="C416" s="9" t="inlineStr">
        <is>
          <t>Thứ 6</t>
        </is>
      </c>
      <c r="D416" s="9" t="inlineStr">
        <is>
          <t>23/10/2026</t>
        </is>
      </c>
      <c r="E416" s="9" t="inlineStr">
        <is>
          <t>Ngày 46</t>
        </is>
      </c>
      <c r="F416" s="10" t="inlineStr">
        <is>
          <t>Thảo Collins Edu</t>
        </is>
      </c>
      <c r="G416" s="19" t="inlineStr"/>
      <c r="H416" s="19" t="inlineStr"/>
      <c r="I416" s="19" t="inlineStr"/>
      <c r="J416" s="19" t="inlineStr"/>
      <c r="K416" s="19" t="inlineStr"/>
      <c r="L416" s="19" t="inlineStr"/>
      <c r="M416" s="19" t="inlineStr"/>
      <c r="N416" s="19" t="inlineStr"/>
      <c r="O416" s="11">
        <f>IF(OR(G416&lt;&gt;"",H416&lt;&gt;""),1,0) + IF(OR(I416&lt;&gt;"",J416&lt;&gt;""),1,0) + IF(OR(K416&lt;&gt;"",L416&lt;&gt;""),1,0) + IF(OR(M416&lt;&gt;"",N416&lt;&gt;""),1,0)</f>
        <v/>
      </c>
      <c r="P416" s="9">
        <f>IF(O416=4,"✅ Đủ 4 nhiệm vụ",IF(O416&gt;0,"⏳ Đạt "&amp;O416&amp;"/4","❌ Chưa nộp"))</f>
        <v/>
      </c>
    </row>
    <row r="417">
      <c r="A417" s="9" t="n">
        <v>413</v>
      </c>
      <c r="B417" s="9" t="inlineStr">
        <is>
          <t>Tuần 7</t>
        </is>
      </c>
      <c r="C417" s="9" t="inlineStr">
        <is>
          <t>Thứ 6</t>
        </is>
      </c>
      <c r="D417" s="9" t="inlineStr">
        <is>
          <t>23/10/2026</t>
        </is>
      </c>
      <c r="E417" s="9" t="inlineStr">
        <is>
          <t>Ngày 46</t>
        </is>
      </c>
      <c r="F417" s="10" t="inlineStr">
        <is>
          <t>Trần Quế Lam</t>
        </is>
      </c>
      <c r="G417" s="19" t="inlineStr"/>
      <c r="H417" s="19" t="inlineStr"/>
      <c r="I417" s="19" t="inlineStr"/>
      <c r="J417" s="19" t="inlineStr"/>
      <c r="K417" s="19" t="inlineStr"/>
      <c r="L417" s="19" t="inlineStr"/>
      <c r="M417" s="19" t="inlineStr"/>
      <c r="N417" s="19" t="inlineStr"/>
      <c r="O417" s="11">
        <f>IF(OR(G417&lt;&gt;"",H417&lt;&gt;""),1,0) + IF(OR(I417&lt;&gt;"",J417&lt;&gt;""),1,0) + IF(OR(K417&lt;&gt;"",L417&lt;&gt;""),1,0) + IF(OR(M417&lt;&gt;"",N417&lt;&gt;""),1,0)</f>
        <v/>
      </c>
      <c r="P417" s="9">
        <f>IF(O417=4,"✅ Đủ 4 nhiệm vụ",IF(O417&gt;0,"⏳ Đạt "&amp;O417&amp;"/4","❌ Chưa nộp"))</f>
        <v/>
      </c>
    </row>
    <row r="418">
      <c r="A418" s="9" t="n">
        <v>414</v>
      </c>
      <c r="B418" s="9" t="inlineStr">
        <is>
          <t>Tuần 7</t>
        </is>
      </c>
      <c r="C418" s="9" t="inlineStr">
        <is>
          <t>Thứ 6</t>
        </is>
      </c>
      <c r="D418" s="9" t="inlineStr">
        <is>
          <t>23/10/2026</t>
        </is>
      </c>
      <c r="E418" s="9" t="inlineStr">
        <is>
          <t>Ngày 46</t>
        </is>
      </c>
      <c r="F418" s="10" t="inlineStr">
        <is>
          <t>Phạm Huyền</t>
        </is>
      </c>
      <c r="G418" s="19" t="inlineStr"/>
      <c r="H418" s="19" t="inlineStr"/>
      <c r="I418" s="19" t="inlineStr"/>
      <c r="J418" s="19" t="inlineStr"/>
      <c r="K418" s="19" t="inlineStr"/>
      <c r="L418" s="19" t="inlineStr"/>
      <c r="M418" s="19" t="inlineStr"/>
      <c r="N418" s="19" t="inlineStr"/>
      <c r="O418" s="11">
        <f>IF(OR(G418&lt;&gt;"",H418&lt;&gt;""),1,0) + IF(OR(I418&lt;&gt;"",J418&lt;&gt;""),1,0) + IF(OR(K418&lt;&gt;"",L418&lt;&gt;""),1,0) + IF(OR(M418&lt;&gt;"",N418&lt;&gt;""),1,0)</f>
        <v/>
      </c>
      <c r="P418" s="9">
        <f>IF(O418=4,"✅ Đủ 4 nhiệm vụ",IF(O418&gt;0,"⏳ Đạt "&amp;O418&amp;"/4","❌ Chưa nộp"))</f>
        <v/>
      </c>
    </row>
    <row r="419">
      <c r="A419" s="5" t="n">
        <v>415</v>
      </c>
      <c r="B419" s="5" t="inlineStr">
        <is>
          <t>Tuần 7</t>
        </is>
      </c>
      <c r="C419" s="5" t="inlineStr">
        <is>
          <t>Thứ 7</t>
        </is>
      </c>
      <c r="D419" s="5" t="inlineStr">
        <is>
          <t>24/10/2026</t>
        </is>
      </c>
      <c r="E419" s="5" t="inlineStr">
        <is>
          <t>Ngày 47</t>
        </is>
      </c>
      <c r="F419" s="6" t="inlineStr">
        <is>
          <t>Nancy</t>
        </is>
      </c>
      <c r="G419" s="18" t="inlineStr"/>
      <c r="H419" s="18" t="inlineStr"/>
      <c r="I419" s="18" t="inlineStr"/>
      <c r="J419" s="18" t="inlineStr"/>
      <c r="K419" s="18" t="inlineStr"/>
      <c r="L419" s="18" t="inlineStr"/>
      <c r="M419" s="18" t="inlineStr"/>
      <c r="N419" s="18" t="inlineStr"/>
      <c r="O419" s="7">
        <f>IF(OR(G419&lt;&gt;"",H419&lt;&gt;""),1,0) + IF(OR(I419&lt;&gt;"",J419&lt;&gt;""),1,0) + IF(OR(K419&lt;&gt;"",L419&lt;&gt;""),1,0) + IF(OR(M419&lt;&gt;"",N419&lt;&gt;""),1,0)</f>
        <v/>
      </c>
      <c r="P419" s="5">
        <f>IF(O419=4,"✅ Đủ 4 nhiệm vụ",IF(O419&gt;0,"⏳ Đạt "&amp;O419&amp;"/4","❌ Chưa nộp"))</f>
        <v/>
      </c>
    </row>
    <row r="420">
      <c r="A420" s="5" t="n">
        <v>416</v>
      </c>
      <c r="B420" s="5" t="inlineStr">
        <is>
          <t>Tuần 7</t>
        </is>
      </c>
      <c r="C420" s="5" t="inlineStr">
        <is>
          <t>Thứ 7</t>
        </is>
      </c>
      <c r="D420" s="5" t="inlineStr">
        <is>
          <t>24/10/2026</t>
        </is>
      </c>
      <c r="E420" s="5" t="inlineStr">
        <is>
          <t>Ngày 47</t>
        </is>
      </c>
      <c r="F420" s="6" t="inlineStr">
        <is>
          <t>Hoài Học Mãi</t>
        </is>
      </c>
      <c r="G420" s="18" t="inlineStr"/>
      <c r="H420" s="18" t="inlineStr"/>
      <c r="I420" s="18" t="inlineStr"/>
      <c r="J420" s="18" t="inlineStr"/>
      <c r="K420" s="18" t="inlineStr"/>
      <c r="L420" s="18" t="inlineStr"/>
      <c r="M420" s="18" t="inlineStr"/>
      <c r="N420" s="18" t="inlineStr"/>
      <c r="O420" s="7">
        <f>IF(OR(G420&lt;&gt;"",H420&lt;&gt;""),1,0) + IF(OR(I420&lt;&gt;"",J420&lt;&gt;""),1,0) + IF(OR(K420&lt;&gt;"",L420&lt;&gt;""),1,0) + IF(OR(M420&lt;&gt;"",N420&lt;&gt;""),1,0)</f>
        <v/>
      </c>
      <c r="P420" s="5">
        <f>IF(O420=4,"✅ Đủ 4 nhiệm vụ",IF(O420&gt;0,"⏳ Đạt "&amp;O420&amp;"/4","❌ Chưa nộp"))</f>
        <v/>
      </c>
    </row>
    <row r="421">
      <c r="A421" s="5" t="n">
        <v>417</v>
      </c>
      <c r="B421" s="5" t="inlineStr">
        <is>
          <t>Tuần 7</t>
        </is>
      </c>
      <c r="C421" s="5" t="inlineStr">
        <is>
          <t>Thứ 7</t>
        </is>
      </c>
      <c r="D421" s="5" t="inlineStr">
        <is>
          <t>24/10/2026</t>
        </is>
      </c>
      <c r="E421" s="5" t="inlineStr">
        <is>
          <t>Ngày 47</t>
        </is>
      </c>
      <c r="F421" s="6" t="inlineStr">
        <is>
          <t>Lambee</t>
        </is>
      </c>
      <c r="G421" s="18" t="inlineStr"/>
      <c r="H421" s="18" t="inlineStr"/>
      <c r="I421" s="18" t="inlineStr"/>
      <c r="J421" s="18" t="inlineStr"/>
      <c r="K421" s="18" t="inlineStr"/>
      <c r="L421" s="18" t="inlineStr"/>
      <c r="M421" s="18" t="inlineStr"/>
      <c r="N421" s="18" t="inlineStr"/>
      <c r="O421" s="7">
        <f>IF(OR(G421&lt;&gt;"",H421&lt;&gt;""),1,0) + IF(OR(I421&lt;&gt;"",J421&lt;&gt;""),1,0) + IF(OR(K421&lt;&gt;"",L421&lt;&gt;""),1,0) + IF(OR(M421&lt;&gt;"",N421&lt;&gt;""),1,0)</f>
        <v/>
      </c>
      <c r="P421" s="5">
        <f>IF(O421=4,"✅ Đủ 4 nhiệm vụ",IF(O421&gt;0,"⏳ Đạt "&amp;O421&amp;"/4","❌ Chưa nộp"))</f>
        <v/>
      </c>
    </row>
    <row r="422">
      <c r="A422" s="5" t="n">
        <v>418</v>
      </c>
      <c r="B422" s="5" t="inlineStr">
        <is>
          <t>Tuần 7</t>
        </is>
      </c>
      <c r="C422" s="5" t="inlineStr">
        <is>
          <t>Thứ 7</t>
        </is>
      </c>
      <c r="D422" s="5" t="inlineStr">
        <is>
          <t>24/10/2026</t>
        </is>
      </c>
      <c r="E422" s="5" t="inlineStr">
        <is>
          <t>Ngày 47</t>
        </is>
      </c>
      <c r="F422" s="6" t="inlineStr">
        <is>
          <t>Nhung Hoàng</t>
        </is>
      </c>
      <c r="G422" s="18" t="inlineStr"/>
      <c r="H422" s="18" t="inlineStr"/>
      <c r="I422" s="18" t="inlineStr"/>
      <c r="J422" s="18" t="inlineStr"/>
      <c r="K422" s="18" t="inlineStr"/>
      <c r="L422" s="18" t="inlineStr"/>
      <c r="M422" s="18" t="inlineStr"/>
      <c r="N422" s="18" t="inlineStr"/>
      <c r="O422" s="7">
        <f>IF(OR(G422&lt;&gt;"",H422&lt;&gt;""),1,0) + IF(OR(I422&lt;&gt;"",J422&lt;&gt;""),1,0) + IF(OR(K422&lt;&gt;"",L422&lt;&gt;""),1,0) + IF(OR(M422&lt;&gt;"",N422&lt;&gt;""),1,0)</f>
        <v/>
      </c>
      <c r="P422" s="5">
        <f>IF(O422=4,"✅ Đủ 4 nhiệm vụ",IF(O422&gt;0,"⏳ Đạt "&amp;O422&amp;"/4","❌ Chưa nộp"))</f>
        <v/>
      </c>
    </row>
    <row r="423">
      <c r="A423" s="5" t="n">
        <v>419</v>
      </c>
      <c r="B423" s="5" t="inlineStr">
        <is>
          <t>Tuần 7</t>
        </is>
      </c>
      <c r="C423" s="5" t="inlineStr">
        <is>
          <t>Thứ 7</t>
        </is>
      </c>
      <c r="D423" s="5" t="inlineStr">
        <is>
          <t>24/10/2026</t>
        </is>
      </c>
      <c r="E423" s="5" t="inlineStr">
        <is>
          <t>Ngày 47</t>
        </is>
      </c>
      <c r="F423" s="6" t="inlineStr">
        <is>
          <t>Quỳnh Thu</t>
        </is>
      </c>
      <c r="G423" s="18" t="inlineStr"/>
      <c r="H423" s="18" t="inlineStr"/>
      <c r="I423" s="18" t="inlineStr"/>
      <c r="J423" s="18" t="inlineStr"/>
      <c r="K423" s="18" t="inlineStr"/>
      <c r="L423" s="18" t="inlineStr"/>
      <c r="M423" s="18" t="inlineStr"/>
      <c r="N423" s="18" t="inlineStr"/>
      <c r="O423" s="7">
        <f>IF(OR(G423&lt;&gt;"",H423&lt;&gt;""),1,0) + IF(OR(I423&lt;&gt;"",J423&lt;&gt;""),1,0) + IF(OR(K423&lt;&gt;"",L423&lt;&gt;""),1,0) + IF(OR(M423&lt;&gt;"",N423&lt;&gt;""),1,0)</f>
        <v/>
      </c>
      <c r="P423" s="5">
        <f>IF(O423=4,"✅ Đủ 4 nhiệm vụ",IF(O423&gt;0,"⏳ Đạt "&amp;O423&amp;"/4","❌ Chưa nộp"))</f>
        <v/>
      </c>
    </row>
    <row r="424">
      <c r="A424" s="5" t="n">
        <v>420</v>
      </c>
      <c r="B424" s="5" t="inlineStr">
        <is>
          <t>Tuần 7</t>
        </is>
      </c>
      <c r="C424" s="5" t="inlineStr">
        <is>
          <t>Thứ 7</t>
        </is>
      </c>
      <c r="D424" s="5" t="inlineStr">
        <is>
          <t>24/10/2026</t>
        </is>
      </c>
      <c r="E424" s="5" t="inlineStr">
        <is>
          <t>Ngày 47</t>
        </is>
      </c>
      <c r="F424" s="6" t="inlineStr">
        <is>
          <t>TanAnh Pham</t>
        </is>
      </c>
      <c r="G424" s="18" t="inlineStr"/>
      <c r="H424" s="18" t="inlineStr"/>
      <c r="I424" s="18" t="inlineStr"/>
      <c r="J424" s="18" t="inlineStr"/>
      <c r="K424" s="18" t="inlineStr"/>
      <c r="L424" s="18" t="inlineStr"/>
      <c r="M424" s="18" t="inlineStr"/>
      <c r="N424" s="18" t="inlineStr"/>
      <c r="O424" s="7">
        <f>IF(OR(G424&lt;&gt;"",H424&lt;&gt;""),1,0) + IF(OR(I424&lt;&gt;"",J424&lt;&gt;""),1,0) + IF(OR(K424&lt;&gt;"",L424&lt;&gt;""),1,0) + IF(OR(M424&lt;&gt;"",N424&lt;&gt;""),1,0)</f>
        <v/>
      </c>
      <c r="P424" s="5">
        <f>IF(O424=4,"✅ Đủ 4 nhiệm vụ",IF(O424&gt;0,"⏳ Đạt "&amp;O424&amp;"/4","❌ Chưa nộp"))</f>
        <v/>
      </c>
    </row>
    <row r="425">
      <c r="A425" s="5" t="n">
        <v>421</v>
      </c>
      <c r="B425" s="5" t="inlineStr">
        <is>
          <t>Tuần 7</t>
        </is>
      </c>
      <c r="C425" s="5" t="inlineStr">
        <is>
          <t>Thứ 7</t>
        </is>
      </c>
      <c r="D425" s="5" t="inlineStr">
        <is>
          <t>24/10/2026</t>
        </is>
      </c>
      <c r="E425" s="5" t="inlineStr">
        <is>
          <t>Ngày 47</t>
        </is>
      </c>
      <c r="F425" s="6" t="inlineStr">
        <is>
          <t>Thảo Collins Edu</t>
        </is>
      </c>
      <c r="G425" s="18" t="inlineStr"/>
      <c r="H425" s="18" t="inlineStr"/>
      <c r="I425" s="18" t="inlineStr"/>
      <c r="J425" s="18" t="inlineStr"/>
      <c r="K425" s="18" t="inlineStr"/>
      <c r="L425" s="18" t="inlineStr"/>
      <c r="M425" s="18" t="inlineStr"/>
      <c r="N425" s="18" t="inlineStr"/>
      <c r="O425" s="7">
        <f>IF(OR(G425&lt;&gt;"",H425&lt;&gt;""),1,0) + IF(OR(I425&lt;&gt;"",J425&lt;&gt;""),1,0) + IF(OR(K425&lt;&gt;"",L425&lt;&gt;""),1,0) + IF(OR(M425&lt;&gt;"",N425&lt;&gt;""),1,0)</f>
        <v/>
      </c>
      <c r="P425" s="5">
        <f>IF(O425=4,"✅ Đủ 4 nhiệm vụ",IF(O425&gt;0,"⏳ Đạt "&amp;O425&amp;"/4","❌ Chưa nộp"))</f>
        <v/>
      </c>
    </row>
    <row r="426">
      <c r="A426" s="5" t="n">
        <v>422</v>
      </c>
      <c r="B426" s="5" t="inlineStr">
        <is>
          <t>Tuần 7</t>
        </is>
      </c>
      <c r="C426" s="5" t="inlineStr">
        <is>
          <t>Thứ 7</t>
        </is>
      </c>
      <c r="D426" s="5" t="inlineStr">
        <is>
          <t>24/10/2026</t>
        </is>
      </c>
      <c r="E426" s="5" t="inlineStr">
        <is>
          <t>Ngày 47</t>
        </is>
      </c>
      <c r="F426" s="6" t="inlineStr">
        <is>
          <t>Trần Quế Lam</t>
        </is>
      </c>
      <c r="G426" s="18" t="inlineStr"/>
      <c r="H426" s="18" t="inlineStr"/>
      <c r="I426" s="18" t="inlineStr"/>
      <c r="J426" s="18" t="inlineStr"/>
      <c r="K426" s="18" t="inlineStr"/>
      <c r="L426" s="18" t="inlineStr"/>
      <c r="M426" s="18" t="inlineStr"/>
      <c r="N426" s="18" t="inlineStr"/>
      <c r="O426" s="7">
        <f>IF(OR(G426&lt;&gt;"",H426&lt;&gt;""),1,0) + IF(OR(I426&lt;&gt;"",J426&lt;&gt;""),1,0) + IF(OR(K426&lt;&gt;"",L426&lt;&gt;""),1,0) + IF(OR(M426&lt;&gt;"",N426&lt;&gt;""),1,0)</f>
        <v/>
      </c>
      <c r="P426" s="5">
        <f>IF(O426=4,"✅ Đủ 4 nhiệm vụ",IF(O426&gt;0,"⏳ Đạt "&amp;O426&amp;"/4","❌ Chưa nộp"))</f>
        <v/>
      </c>
    </row>
    <row r="427">
      <c r="A427" s="5" t="n">
        <v>423</v>
      </c>
      <c r="B427" s="5" t="inlineStr">
        <is>
          <t>Tuần 7</t>
        </is>
      </c>
      <c r="C427" s="5" t="inlineStr">
        <is>
          <t>Thứ 7</t>
        </is>
      </c>
      <c r="D427" s="5" t="inlineStr">
        <is>
          <t>24/10/2026</t>
        </is>
      </c>
      <c r="E427" s="5" t="inlineStr">
        <is>
          <t>Ngày 47</t>
        </is>
      </c>
      <c r="F427" s="6" t="inlineStr">
        <is>
          <t>Phạm Huyền</t>
        </is>
      </c>
      <c r="G427" s="18" t="inlineStr"/>
      <c r="H427" s="18" t="inlineStr"/>
      <c r="I427" s="18" t="inlineStr"/>
      <c r="J427" s="18" t="inlineStr"/>
      <c r="K427" s="18" t="inlineStr"/>
      <c r="L427" s="18" t="inlineStr"/>
      <c r="M427" s="18" t="inlineStr"/>
      <c r="N427" s="18" t="inlineStr"/>
      <c r="O427" s="7">
        <f>IF(OR(G427&lt;&gt;"",H427&lt;&gt;""),1,0) + IF(OR(I427&lt;&gt;"",J427&lt;&gt;""),1,0) + IF(OR(K427&lt;&gt;"",L427&lt;&gt;""),1,0) + IF(OR(M427&lt;&gt;"",N427&lt;&gt;""),1,0)</f>
        <v/>
      </c>
      <c r="P427" s="5">
        <f>IF(O427=4,"✅ Đủ 4 nhiệm vụ",IF(O427&gt;0,"⏳ Đạt "&amp;O427&amp;"/4","❌ Chưa nộp"))</f>
        <v/>
      </c>
    </row>
    <row r="428">
      <c r="A428" s="9" t="n">
        <v>424</v>
      </c>
      <c r="B428" s="9" t="inlineStr">
        <is>
          <t>Tuần 7</t>
        </is>
      </c>
      <c r="C428" s="9" t="inlineStr">
        <is>
          <t>Chủ Nhật</t>
        </is>
      </c>
      <c r="D428" s="9" t="inlineStr">
        <is>
          <t>25/10/2026</t>
        </is>
      </c>
      <c r="E428" s="9" t="inlineStr">
        <is>
          <t>Ngày 48</t>
        </is>
      </c>
      <c r="F428" s="10" t="inlineStr">
        <is>
          <t>Nancy</t>
        </is>
      </c>
      <c r="G428" s="19" t="inlineStr"/>
      <c r="H428" s="19" t="inlineStr"/>
      <c r="I428" s="19" t="inlineStr"/>
      <c r="J428" s="19" t="inlineStr"/>
      <c r="K428" s="19" t="inlineStr"/>
      <c r="L428" s="19" t="inlineStr"/>
      <c r="M428" s="19" t="inlineStr"/>
      <c r="N428" s="19" t="inlineStr"/>
      <c r="O428" s="11">
        <f>IF(OR(G428&lt;&gt;"",H428&lt;&gt;""),1,0) + IF(OR(I428&lt;&gt;"",J428&lt;&gt;""),1,0) + IF(OR(K428&lt;&gt;"",L428&lt;&gt;""),1,0) + IF(OR(M428&lt;&gt;"",N428&lt;&gt;""),1,0)</f>
        <v/>
      </c>
      <c r="P428" s="9">
        <f>IF(O428=4,"✅ Đủ 4 nhiệm vụ",IF(O428&gt;0,"⏳ Đạt "&amp;O428&amp;"/4","❌ Chưa nộp"))</f>
        <v/>
      </c>
    </row>
    <row r="429">
      <c r="A429" s="9" t="n">
        <v>425</v>
      </c>
      <c r="B429" s="9" t="inlineStr">
        <is>
          <t>Tuần 7</t>
        </is>
      </c>
      <c r="C429" s="9" t="inlineStr">
        <is>
          <t>Chủ Nhật</t>
        </is>
      </c>
      <c r="D429" s="9" t="inlineStr">
        <is>
          <t>25/10/2026</t>
        </is>
      </c>
      <c r="E429" s="9" t="inlineStr">
        <is>
          <t>Ngày 48</t>
        </is>
      </c>
      <c r="F429" s="10" t="inlineStr">
        <is>
          <t>Hoài Học Mãi</t>
        </is>
      </c>
      <c r="G429" s="19" t="inlineStr"/>
      <c r="H429" s="19" t="inlineStr"/>
      <c r="I429" s="19" t="inlineStr"/>
      <c r="J429" s="19" t="inlineStr"/>
      <c r="K429" s="19" t="inlineStr"/>
      <c r="L429" s="19" t="inlineStr"/>
      <c r="M429" s="19" t="inlineStr"/>
      <c r="N429" s="19" t="inlineStr"/>
      <c r="O429" s="11">
        <f>IF(OR(G429&lt;&gt;"",H429&lt;&gt;""),1,0) + IF(OR(I429&lt;&gt;"",J429&lt;&gt;""),1,0) + IF(OR(K429&lt;&gt;"",L429&lt;&gt;""),1,0) + IF(OR(M429&lt;&gt;"",N429&lt;&gt;""),1,0)</f>
        <v/>
      </c>
      <c r="P429" s="9">
        <f>IF(O429=4,"✅ Đủ 4 nhiệm vụ",IF(O429&gt;0,"⏳ Đạt "&amp;O429&amp;"/4","❌ Chưa nộp"))</f>
        <v/>
      </c>
    </row>
    <row r="430">
      <c r="A430" s="9" t="n">
        <v>426</v>
      </c>
      <c r="B430" s="9" t="inlineStr">
        <is>
          <t>Tuần 7</t>
        </is>
      </c>
      <c r="C430" s="9" t="inlineStr">
        <is>
          <t>Chủ Nhật</t>
        </is>
      </c>
      <c r="D430" s="9" t="inlineStr">
        <is>
          <t>25/10/2026</t>
        </is>
      </c>
      <c r="E430" s="9" t="inlineStr">
        <is>
          <t>Ngày 48</t>
        </is>
      </c>
      <c r="F430" s="10" t="inlineStr">
        <is>
          <t>Lambee</t>
        </is>
      </c>
      <c r="G430" s="19" t="inlineStr"/>
      <c r="H430" s="19" t="inlineStr"/>
      <c r="I430" s="19" t="inlineStr"/>
      <c r="J430" s="19" t="inlineStr"/>
      <c r="K430" s="19" t="inlineStr"/>
      <c r="L430" s="19" t="inlineStr"/>
      <c r="M430" s="19" t="inlineStr"/>
      <c r="N430" s="19" t="inlineStr"/>
      <c r="O430" s="11">
        <f>IF(OR(G430&lt;&gt;"",H430&lt;&gt;""),1,0) + IF(OR(I430&lt;&gt;"",J430&lt;&gt;""),1,0) + IF(OR(K430&lt;&gt;"",L430&lt;&gt;""),1,0) + IF(OR(M430&lt;&gt;"",N430&lt;&gt;""),1,0)</f>
        <v/>
      </c>
      <c r="P430" s="9">
        <f>IF(O430=4,"✅ Đủ 4 nhiệm vụ",IF(O430&gt;0,"⏳ Đạt "&amp;O430&amp;"/4","❌ Chưa nộp"))</f>
        <v/>
      </c>
    </row>
    <row r="431">
      <c r="A431" s="9" t="n">
        <v>427</v>
      </c>
      <c r="B431" s="9" t="inlineStr">
        <is>
          <t>Tuần 7</t>
        </is>
      </c>
      <c r="C431" s="9" t="inlineStr">
        <is>
          <t>Chủ Nhật</t>
        </is>
      </c>
      <c r="D431" s="9" t="inlineStr">
        <is>
          <t>25/10/2026</t>
        </is>
      </c>
      <c r="E431" s="9" t="inlineStr">
        <is>
          <t>Ngày 48</t>
        </is>
      </c>
      <c r="F431" s="10" t="inlineStr">
        <is>
          <t>Nhung Hoàng</t>
        </is>
      </c>
      <c r="G431" s="19" t="inlineStr"/>
      <c r="H431" s="19" t="inlineStr"/>
      <c r="I431" s="19" t="inlineStr"/>
      <c r="J431" s="19" t="inlineStr"/>
      <c r="K431" s="19" t="inlineStr"/>
      <c r="L431" s="19" t="inlineStr"/>
      <c r="M431" s="19" t="inlineStr"/>
      <c r="N431" s="19" t="inlineStr"/>
      <c r="O431" s="11">
        <f>IF(OR(G431&lt;&gt;"",H431&lt;&gt;""),1,0) + IF(OR(I431&lt;&gt;"",J431&lt;&gt;""),1,0) + IF(OR(K431&lt;&gt;"",L431&lt;&gt;""),1,0) + IF(OR(M431&lt;&gt;"",N431&lt;&gt;""),1,0)</f>
        <v/>
      </c>
      <c r="P431" s="9">
        <f>IF(O431=4,"✅ Đủ 4 nhiệm vụ",IF(O431&gt;0,"⏳ Đạt "&amp;O431&amp;"/4","❌ Chưa nộp"))</f>
        <v/>
      </c>
    </row>
    <row r="432">
      <c r="A432" s="9" t="n">
        <v>428</v>
      </c>
      <c r="B432" s="9" t="inlineStr">
        <is>
          <t>Tuần 7</t>
        </is>
      </c>
      <c r="C432" s="9" t="inlineStr">
        <is>
          <t>Chủ Nhật</t>
        </is>
      </c>
      <c r="D432" s="9" t="inlineStr">
        <is>
          <t>25/10/2026</t>
        </is>
      </c>
      <c r="E432" s="9" t="inlineStr">
        <is>
          <t>Ngày 48</t>
        </is>
      </c>
      <c r="F432" s="10" t="inlineStr">
        <is>
          <t>Quỳnh Thu</t>
        </is>
      </c>
      <c r="G432" s="19" t="inlineStr"/>
      <c r="H432" s="19" t="inlineStr"/>
      <c r="I432" s="19" t="inlineStr"/>
      <c r="J432" s="19" t="inlineStr"/>
      <c r="K432" s="19" t="inlineStr"/>
      <c r="L432" s="19" t="inlineStr"/>
      <c r="M432" s="19" t="inlineStr"/>
      <c r="N432" s="19" t="inlineStr"/>
      <c r="O432" s="11">
        <f>IF(OR(G432&lt;&gt;"",H432&lt;&gt;""),1,0) + IF(OR(I432&lt;&gt;"",J432&lt;&gt;""),1,0) + IF(OR(K432&lt;&gt;"",L432&lt;&gt;""),1,0) + IF(OR(M432&lt;&gt;"",N432&lt;&gt;""),1,0)</f>
        <v/>
      </c>
      <c r="P432" s="9">
        <f>IF(O432=4,"✅ Đủ 4 nhiệm vụ",IF(O432&gt;0,"⏳ Đạt "&amp;O432&amp;"/4","❌ Chưa nộp"))</f>
        <v/>
      </c>
    </row>
    <row r="433">
      <c r="A433" s="9" t="n">
        <v>429</v>
      </c>
      <c r="B433" s="9" t="inlineStr">
        <is>
          <t>Tuần 7</t>
        </is>
      </c>
      <c r="C433" s="9" t="inlineStr">
        <is>
          <t>Chủ Nhật</t>
        </is>
      </c>
      <c r="D433" s="9" t="inlineStr">
        <is>
          <t>25/10/2026</t>
        </is>
      </c>
      <c r="E433" s="9" t="inlineStr">
        <is>
          <t>Ngày 48</t>
        </is>
      </c>
      <c r="F433" s="10" t="inlineStr">
        <is>
          <t>TanAnh Pham</t>
        </is>
      </c>
      <c r="G433" s="19" t="inlineStr"/>
      <c r="H433" s="19" t="inlineStr"/>
      <c r="I433" s="19" t="inlineStr"/>
      <c r="J433" s="19" t="inlineStr"/>
      <c r="K433" s="19" t="inlineStr"/>
      <c r="L433" s="19" t="inlineStr"/>
      <c r="M433" s="19" t="inlineStr"/>
      <c r="N433" s="19" t="inlineStr"/>
      <c r="O433" s="11">
        <f>IF(OR(G433&lt;&gt;"",H433&lt;&gt;""),1,0) + IF(OR(I433&lt;&gt;"",J433&lt;&gt;""),1,0) + IF(OR(K433&lt;&gt;"",L433&lt;&gt;""),1,0) + IF(OR(M433&lt;&gt;"",N433&lt;&gt;""),1,0)</f>
        <v/>
      </c>
      <c r="P433" s="9">
        <f>IF(O433=4,"✅ Đủ 4 nhiệm vụ",IF(O433&gt;0,"⏳ Đạt "&amp;O433&amp;"/4","❌ Chưa nộp"))</f>
        <v/>
      </c>
    </row>
    <row r="434">
      <c r="A434" s="9" t="n">
        <v>430</v>
      </c>
      <c r="B434" s="9" t="inlineStr">
        <is>
          <t>Tuần 7</t>
        </is>
      </c>
      <c r="C434" s="9" t="inlineStr">
        <is>
          <t>Chủ Nhật</t>
        </is>
      </c>
      <c r="D434" s="9" t="inlineStr">
        <is>
          <t>25/10/2026</t>
        </is>
      </c>
      <c r="E434" s="9" t="inlineStr">
        <is>
          <t>Ngày 48</t>
        </is>
      </c>
      <c r="F434" s="10" t="inlineStr">
        <is>
          <t>Thảo Collins Edu</t>
        </is>
      </c>
      <c r="G434" s="19" t="inlineStr"/>
      <c r="H434" s="19" t="inlineStr"/>
      <c r="I434" s="19" t="inlineStr"/>
      <c r="J434" s="19" t="inlineStr"/>
      <c r="K434" s="19" t="inlineStr"/>
      <c r="L434" s="19" t="inlineStr"/>
      <c r="M434" s="19" t="inlineStr"/>
      <c r="N434" s="19" t="inlineStr"/>
      <c r="O434" s="11">
        <f>IF(OR(G434&lt;&gt;"",H434&lt;&gt;""),1,0) + IF(OR(I434&lt;&gt;"",J434&lt;&gt;""),1,0) + IF(OR(K434&lt;&gt;"",L434&lt;&gt;""),1,0) + IF(OR(M434&lt;&gt;"",N434&lt;&gt;""),1,0)</f>
        <v/>
      </c>
      <c r="P434" s="9">
        <f>IF(O434=4,"✅ Đủ 4 nhiệm vụ",IF(O434&gt;0,"⏳ Đạt "&amp;O434&amp;"/4","❌ Chưa nộp"))</f>
        <v/>
      </c>
    </row>
    <row r="435">
      <c r="A435" s="9" t="n">
        <v>431</v>
      </c>
      <c r="B435" s="9" t="inlineStr">
        <is>
          <t>Tuần 7</t>
        </is>
      </c>
      <c r="C435" s="9" t="inlineStr">
        <is>
          <t>Chủ Nhật</t>
        </is>
      </c>
      <c r="D435" s="9" t="inlineStr">
        <is>
          <t>25/10/2026</t>
        </is>
      </c>
      <c r="E435" s="9" t="inlineStr">
        <is>
          <t>Ngày 48</t>
        </is>
      </c>
      <c r="F435" s="10" t="inlineStr">
        <is>
          <t>Trần Quế Lam</t>
        </is>
      </c>
      <c r="G435" s="19" t="inlineStr"/>
      <c r="H435" s="19" t="inlineStr"/>
      <c r="I435" s="19" t="inlineStr"/>
      <c r="J435" s="19" t="inlineStr"/>
      <c r="K435" s="19" t="inlineStr"/>
      <c r="L435" s="19" t="inlineStr"/>
      <c r="M435" s="19" t="inlineStr"/>
      <c r="N435" s="19" t="inlineStr"/>
      <c r="O435" s="11">
        <f>IF(OR(G435&lt;&gt;"",H435&lt;&gt;""),1,0) + IF(OR(I435&lt;&gt;"",J435&lt;&gt;""),1,0) + IF(OR(K435&lt;&gt;"",L435&lt;&gt;""),1,0) + IF(OR(M435&lt;&gt;"",N435&lt;&gt;""),1,0)</f>
        <v/>
      </c>
      <c r="P435" s="9">
        <f>IF(O435=4,"✅ Đủ 4 nhiệm vụ",IF(O435&gt;0,"⏳ Đạt "&amp;O435&amp;"/4","❌ Chưa nộp"))</f>
        <v/>
      </c>
    </row>
    <row r="436">
      <c r="A436" s="9" t="n">
        <v>432</v>
      </c>
      <c r="B436" s="9" t="inlineStr">
        <is>
          <t>Tuần 7</t>
        </is>
      </c>
      <c r="C436" s="9" t="inlineStr">
        <is>
          <t>Chủ Nhật</t>
        </is>
      </c>
      <c r="D436" s="9" t="inlineStr">
        <is>
          <t>25/10/2026</t>
        </is>
      </c>
      <c r="E436" s="9" t="inlineStr">
        <is>
          <t>Ngày 48</t>
        </is>
      </c>
      <c r="F436" s="10" t="inlineStr">
        <is>
          <t>Phạm Huyền</t>
        </is>
      </c>
      <c r="G436" s="19" t="inlineStr"/>
      <c r="H436" s="19" t="inlineStr"/>
      <c r="I436" s="19" t="inlineStr"/>
      <c r="J436" s="19" t="inlineStr"/>
      <c r="K436" s="19" t="inlineStr"/>
      <c r="L436" s="19" t="inlineStr"/>
      <c r="M436" s="19" t="inlineStr"/>
      <c r="N436" s="19" t="inlineStr"/>
      <c r="O436" s="11">
        <f>IF(OR(G436&lt;&gt;"",H436&lt;&gt;""),1,0) + IF(OR(I436&lt;&gt;"",J436&lt;&gt;""),1,0) + IF(OR(K436&lt;&gt;"",L436&lt;&gt;""),1,0) + IF(OR(M436&lt;&gt;"",N436&lt;&gt;""),1,0)</f>
        <v/>
      </c>
      <c r="P436" s="9">
        <f>IF(O436=4,"✅ Đủ 4 nhiệm vụ",IF(O436&gt;0,"⏳ Đạt "&amp;O436&amp;"/4","❌ Chưa nộp"))</f>
        <v/>
      </c>
    </row>
    <row r="437">
      <c r="A437" s="5" t="n">
        <v>433</v>
      </c>
      <c r="B437" s="5" t="inlineStr">
        <is>
          <t>Tuần 7</t>
        </is>
      </c>
      <c r="C437" s="5" t="inlineStr">
        <is>
          <t>Thứ 2</t>
        </is>
      </c>
      <c r="D437" s="5" t="inlineStr">
        <is>
          <t>26/10/2026</t>
        </is>
      </c>
      <c r="E437" s="5" t="inlineStr">
        <is>
          <t>Ngày 49</t>
        </is>
      </c>
      <c r="F437" s="6" t="inlineStr">
        <is>
          <t>Nancy</t>
        </is>
      </c>
      <c r="G437" s="18" t="inlineStr"/>
      <c r="H437" s="18" t="inlineStr"/>
      <c r="I437" s="18" t="inlineStr"/>
      <c r="J437" s="18" t="inlineStr"/>
      <c r="K437" s="18" t="inlineStr"/>
      <c r="L437" s="18" t="inlineStr"/>
      <c r="M437" s="18" t="inlineStr"/>
      <c r="N437" s="18" t="inlineStr"/>
      <c r="O437" s="7">
        <f>IF(OR(G437&lt;&gt;"",H437&lt;&gt;""),1,0) + IF(OR(I437&lt;&gt;"",J437&lt;&gt;""),1,0) + IF(OR(K437&lt;&gt;"",L437&lt;&gt;""),1,0) + IF(OR(M437&lt;&gt;"",N437&lt;&gt;""),1,0)</f>
        <v/>
      </c>
      <c r="P437" s="5">
        <f>IF(O437=4,"✅ Đủ 4 nhiệm vụ",IF(O437&gt;0,"⏳ Đạt "&amp;O437&amp;"/4","❌ Chưa nộp"))</f>
        <v/>
      </c>
    </row>
    <row r="438">
      <c r="A438" s="5" t="n">
        <v>434</v>
      </c>
      <c r="B438" s="5" t="inlineStr">
        <is>
          <t>Tuần 7</t>
        </is>
      </c>
      <c r="C438" s="5" t="inlineStr">
        <is>
          <t>Thứ 2</t>
        </is>
      </c>
      <c r="D438" s="5" t="inlineStr">
        <is>
          <t>26/10/2026</t>
        </is>
      </c>
      <c r="E438" s="5" t="inlineStr">
        <is>
          <t>Ngày 49</t>
        </is>
      </c>
      <c r="F438" s="6" t="inlineStr">
        <is>
          <t>Hoài Học Mãi</t>
        </is>
      </c>
      <c r="G438" s="18" t="inlineStr"/>
      <c r="H438" s="18" t="inlineStr"/>
      <c r="I438" s="18" t="inlineStr"/>
      <c r="J438" s="18" t="inlineStr"/>
      <c r="K438" s="18" t="inlineStr"/>
      <c r="L438" s="18" t="inlineStr"/>
      <c r="M438" s="18" t="inlineStr"/>
      <c r="N438" s="18" t="inlineStr"/>
      <c r="O438" s="7">
        <f>IF(OR(G438&lt;&gt;"",H438&lt;&gt;""),1,0) + IF(OR(I438&lt;&gt;"",J438&lt;&gt;""),1,0) + IF(OR(K438&lt;&gt;"",L438&lt;&gt;""),1,0) + IF(OR(M438&lt;&gt;"",N438&lt;&gt;""),1,0)</f>
        <v/>
      </c>
      <c r="P438" s="5">
        <f>IF(O438=4,"✅ Đủ 4 nhiệm vụ",IF(O438&gt;0,"⏳ Đạt "&amp;O438&amp;"/4","❌ Chưa nộp"))</f>
        <v/>
      </c>
    </row>
    <row r="439">
      <c r="A439" s="5" t="n">
        <v>435</v>
      </c>
      <c r="B439" s="5" t="inlineStr">
        <is>
          <t>Tuần 7</t>
        </is>
      </c>
      <c r="C439" s="5" t="inlineStr">
        <is>
          <t>Thứ 2</t>
        </is>
      </c>
      <c r="D439" s="5" t="inlineStr">
        <is>
          <t>26/10/2026</t>
        </is>
      </c>
      <c r="E439" s="5" t="inlineStr">
        <is>
          <t>Ngày 49</t>
        </is>
      </c>
      <c r="F439" s="6" t="inlineStr">
        <is>
          <t>Lambee</t>
        </is>
      </c>
      <c r="G439" s="18" t="inlineStr"/>
      <c r="H439" s="18" t="inlineStr"/>
      <c r="I439" s="18" t="inlineStr"/>
      <c r="J439" s="18" t="inlineStr"/>
      <c r="K439" s="18" t="inlineStr"/>
      <c r="L439" s="18" t="inlineStr"/>
      <c r="M439" s="18" t="inlineStr"/>
      <c r="N439" s="18" t="inlineStr"/>
      <c r="O439" s="7">
        <f>IF(OR(G439&lt;&gt;"",H439&lt;&gt;""),1,0) + IF(OR(I439&lt;&gt;"",J439&lt;&gt;""),1,0) + IF(OR(K439&lt;&gt;"",L439&lt;&gt;""),1,0) + IF(OR(M439&lt;&gt;"",N439&lt;&gt;""),1,0)</f>
        <v/>
      </c>
      <c r="P439" s="5">
        <f>IF(O439=4,"✅ Đủ 4 nhiệm vụ",IF(O439&gt;0,"⏳ Đạt "&amp;O439&amp;"/4","❌ Chưa nộp"))</f>
        <v/>
      </c>
    </row>
    <row r="440">
      <c r="A440" s="5" t="n">
        <v>436</v>
      </c>
      <c r="B440" s="5" t="inlineStr">
        <is>
          <t>Tuần 7</t>
        </is>
      </c>
      <c r="C440" s="5" t="inlineStr">
        <is>
          <t>Thứ 2</t>
        </is>
      </c>
      <c r="D440" s="5" t="inlineStr">
        <is>
          <t>26/10/2026</t>
        </is>
      </c>
      <c r="E440" s="5" t="inlineStr">
        <is>
          <t>Ngày 49</t>
        </is>
      </c>
      <c r="F440" s="6" t="inlineStr">
        <is>
          <t>Nhung Hoàng</t>
        </is>
      </c>
      <c r="G440" s="18" t="inlineStr"/>
      <c r="H440" s="18" t="inlineStr"/>
      <c r="I440" s="18" t="inlineStr"/>
      <c r="J440" s="18" t="inlineStr"/>
      <c r="K440" s="18" t="inlineStr"/>
      <c r="L440" s="18" t="inlineStr"/>
      <c r="M440" s="18" t="inlineStr"/>
      <c r="N440" s="18" t="inlineStr"/>
      <c r="O440" s="7">
        <f>IF(OR(G440&lt;&gt;"",H440&lt;&gt;""),1,0) + IF(OR(I440&lt;&gt;"",J440&lt;&gt;""),1,0) + IF(OR(K440&lt;&gt;"",L440&lt;&gt;""),1,0) + IF(OR(M440&lt;&gt;"",N440&lt;&gt;""),1,0)</f>
        <v/>
      </c>
      <c r="P440" s="5">
        <f>IF(O440=4,"✅ Đủ 4 nhiệm vụ",IF(O440&gt;0,"⏳ Đạt "&amp;O440&amp;"/4","❌ Chưa nộp"))</f>
        <v/>
      </c>
    </row>
    <row r="441">
      <c r="A441" s="5" t="n">
        <v>437</v>
      </c>
      <c r="B441" s="5" t="inlineStr">
        <is>
          <t>Tuần 7</t>
        </is>
      </c>
      <c r="C441" s="5" t="inlineStr">
        <is>
          <t>Thứ 2</t>
        </is>
      </c>
      <c r="D441" s="5" t="inlineStr">
        <is>
          <t>26/10/2026</t>
        </is>
      </c>
      <c r="E441" s="5" t="inlineStr">
        <is>
          <t>Ngày 49</t>
        </is>
      </c>
      <c r="F441" s="6" t="inlineStr">
        <is>
          <t>Quỳnh Thu</t>
        </is>
      </c>
      <c r="G441" s="18" t="inlineStr"/>
      <c r="H441" s="18" t="inlineStr"/>
      <c r="I441" s="18" t="inlineStr"/>
      <c r="J441" s="18" t="inlineStr"/>
      <c r="K441" s="18" t="inlineStr"/>
      <c r="L441" s="18" t="inlineStr"/>
      <c r="M441" s="18" t="inlineStr"/>
      <c r="N441" s="18" t="inlineStr"/>
      <c r="O441" s="7">
        <f>IF(OR(G441&lt;&gt;"",H441&lt;&gt;""),1,0) + IF(OR(I441&lt;&gt;"",J441&lt;&gt;""),1,0) + IF(OR(K441&lt;&gt;"",L441&lt;&gt;""),1,0) + IF(OR(M441&lt;&gt;"",N441&lt;&gt;""),1,0)</f>
        <v/>
      </c>
      <c r="P441" s="5">
        <f>IF(O441=4,"✅ Đủ 4 nhiệm vụ",IF(O441&gt;0,"⏳ Đạt "&amp;O441&amp;"/4","❌ Chưa nộp"))</f>
        <v/>
      </c>
    </row>
    <row r="442">
      <c r="A442" s="5" t="n">
        <v>438</v>
      </c>
      <c r="B442" s="5" t="inlineStr">
        <is>
          <t>Tuần 7</t>
        </is>
      </c>
      <c r="C442" s="5" t="inlineStr">
        <is>
          <t>Thứ 2</t>
        </is>
      </c>
      <c r="D442" s="5" t="inlineStr">
        <is>
          <t>26/10/2026</t>
        </is>
      </c>
      <c r="E442" s="5" t="inlineStr">
        <is>
          <t>Ngày 49</t>
        </is>
      </c>
      <c r="F442" s="6" t="inlineStr">
        <is>
          <t>TanAnh Pham</t>
        </is>
      </c>
      <c r="G442" s="18" t="inlineStr"/>
      <c r="H442" s="18" t="inlineStr"/>
      <c r="I442" s="18" t="inlineStr"/>
      <c r="J442" s="18" t="inlineStr"/>
      <c r="K442" s="18" t="inlineStr"/>
      <c r="L442" s="18" t="inlineStr"/>
      <c r="M442" s="18" t="inlineStr"/>
      <c r="N442" s="18" t="inlineStr"/>
      <c r="O442" s="7">
        <f>IF(OR(G442&lt;&gt;"",H442&lt;&gt;""),1,0) + IF(OR(I442&lt;&gt;"",J442&lt;&gt;""),1,0) + IF(OR(K442&lt;&gt;"",L442&lt;&gt;""),1,0) + IF(OR(M442&lt;&gt;"",N442&lt;&gt;""),1,0)</f>
        <v/>
      </c>
      <c r="P442" s="5">
        <f>IF(O442=4,"✅ Đủ 4 nhiệm vụ",IF(O442&gt;0,"⏳ Đạt "&amp;O442&amp;"/4","❌ Chưa nộp"))</f>
        <v/>
      </c>
    </row>
    <row r="443">
      <c r="A443" s="5" t="n">
        <v>439</v>
      </c>
      <c r="B443" s="5" t="inlineStr">
        <is>
          <t>Tuần 7</t>
        </is>
      </c>
      <c r="C443" s="5" t="inlineStr">
        <is>
          <t>Thứ 2</t>
        </is>
      </c>
      <c r="D443" s="5" t="inlineStr">
        <is>
          <t>26/10/2026</t>
        </is>
      </c>
      <c r="E443" s="5" t="inlineStr">
        <is>
          <t>Ngày 49</t>
        </is>
      </c>
      <c r="F443" s="6" t="inlineStr">
        <is>
          <t>Thảo Collins Edu</t>
        </is>
      </c>
      <c r="G443" s="18" t="inlineStr"/>
      <c r="H443" s="18" t="inlineStr"/>
      <c r="I443" s="18" t="inlineStr"/>
      <c r="J443" s="18" t="inlineStr"/>
      <c r="K443" s="18" t="inlineStr"/>
      <c r="L443" s="18" t="inlineStr"/>
      <c r="M443" s="18" t="inlineStr"/>
      <c r="N443" s="18" t="inlineStr"/>
      <c r="O443" s="7">
        <f>IF(OR(G443&lt;&gt;"",H443&lt;&gt;""),1,0) + IF(OR(I443&lt;&gt;"",J443&lt;&gt;""),1,0) + IF(OR(K443&lt;&gt;"",L443&lt;&gt;""),1,0) + IF(OR(M443&lt;&gt;"",N443&lt;&gt;""),1,0)</f>
        <v/>
      </c>
      <c r="P443" s="5">
        <f>IF(O443=4,"✅ Đủ 4 nhiệm vụ",IF(O443&gt;0,"⏳ Đạt "&amp;O443&amp;"/4","❌ Chưa nộp"))</f>
        <v/>
      </c>
    </row>
    <row r="444">
      <c r="A444" s="5" t="n">
        <v>440</v>
      </c>
      <c r="B444" s="5" t="inlineStr">
        <is>
          <t>Tuần 7</t>
        </is>
      </c>
      <c r="C444" s="5" t="inlineStr">
        <is>
          <t>Thứ 2</t>
        </is>
      </c>
      <c r="D444" s="5" t="inlineStr">
        <is>
          <t>26/10/2026</t>
        </is>
      </c>
      <c r="E444" s="5" t="inlineStr">
        <is>
          <t>Ngày 49</t>
        </is>
      </c>
      <c r="F444" s="6" t="inlineStr">
        <is>
          <t>Trần Quế Lam</t>
        </is>
      </c>
      <c r="G444" s="18" t="inlineStr"/>
      <c r="H444" s="18" t="inlineStr"/>
      <c r="I444" s="18" t="inlineStr"/>
      <c r="J444" s="18" t="inlineStr"/>
      <c r="K444" s="18" t="inlineStr"/>
      <c r="L444" s="18" t="inlineStr"/>
      <c r="M444" s="18" t="inlineStr"/>
      <c r="N444" s="18" t="inlineStr"/>
      <c r="O444" s="7">
        <f>IF(OR(G444&lt;&gt;"",H444&lt;&gt;""),1,0) + IF(OR(I444&lt;&gt;"",J444&lt;&gt;""),1,0) + IF(OR(K444&lt;&gt;"",L444&lt;&gt;""),1,0) + IF(OR(M444&lt;&gt;"",N444&lt;&gt;""),1,0)</f>
        <v/>
      </c>
      <c r="P444" s="5">
        <f>IF(O444=4,"✅ Đủ 4 nhiệm vụ",IF(O444&gt;0,"⏳ Đạt "&amp;O444&amp;"/4","❌ Chưa nộp"))</f>
        <v/>
      </c>
    </row>
    <row r="445">
      <c r="A445" s="5" t="n">
        <v>441</v>
      </c>
      <c r="B445" s="5" t="inlineStr">
        <is>
          <t>Tuần 7</t>
        </is>
      </c>
      <c r="C445" s="5" t="inlineStr">
        <is>
          <t>Thứ 2</t>
        </is>
      </c>
      <c r="D445" s="5" t="inlineStr">
        <is>
          <t>26/10/2026</t>
        </is>
      </c>
      <c r="E445" s="5" t="inlineStr">
        <is>
          <t>Ngày 49</t>
        </is>
      </c>
      <c r="F445" s="6" t="inlineStr">
        <is>
          <t>Phạm Huyền</t>
        </is>
      </c>
      <c r="G445" s="18" t="inlineStr"/>
      <c r="H445" s="18" t="inlineStr"/>
      <c r="I445" s="18" t="inlineStr"/>
      <c r="J445" s="18" t="inlineStr"/>
      <c r="K445" s="18" t="inlineStr"/>
      <c r="L445" s="18" t="inlineStr"/>
      <c r="M445" s="18" t="inlineStr"/>
      <c r="N445" s="18" t="inlineStr"/>
      <c r="O445" s="7">
        <f>IF(OR(G445&lt;&gt;"",H445&lt;&gt;""),1,0) + IF(OR(I445&lt;&gt;"",J445&lt;&gt;""),1,0) + IF(OR(K445&lt;&gt;"",L445&lt;&gt;""),1,0) + IF(OR(M445&lt;&gt;"",N445&lt;&gt;""),1,0)</f>
        <v/>
      </c>
      <c r="P445" s="5">
        <f>IF(O445=4,"✅ Đủ 4 nhiệm vụ",IF(O445&gt;0,"⏳ Đạt "&amp;O445&amp;"/4","❌ Chưa nộp"))</f>
        <v/>
      </c>
    </row>
  </sheetData>
  <mergeCells count="2">
    <mergeCell ref="A1:P2"/>
    <mergeCell ref="A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1 (08/09 - 14/09/2026) - BÁO CÁO 9 THÀNH VIÊN</t>
        </is>
      </c>
    </row>
    <row r="2"/>
    <row r="4">
      <c r="A4" s="20" t="inlineStr">
        <is>
          <t>📍 THỨ 3 (08/09/2026) - NGÀY 01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Ngày'!G5</f>
        <v/>
      </c>
      <c r="D6" s="18">
        <f>'📋 Báo Cáo 49 Ngày'!I5</f>
        <v/>
      </c>
      <c r="E6" s="18">
        <f>'📋 Báo Cáo 49 Ngày'!K5</f>
        <v/>
      </c>
      <c r="F6" s="18">
        <f>'📋 Báo Cáo 49 Ngày'!M5</f>
        <v/>
      </c>
      <c r="G6" s="5">
        <f>IF(COUNTIF('📋 Báo Cáo 49 Ngày'!H5:N5, "&lt;&gt;")&gt;0, "🖼️ Có kèm ảnh", "—")</f>
        <v/>
      </c>
      <c r="H6" s="7">
        <f>'📋 Báo Cáo 49 Ngày'!O5</f>
        <v/>
      </c>
      <c r="I6" s="7">
        <f>'📋 Báo Cáo 49 Ngày'!P5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Ngày'!G6</f>
        <v/>
      </c>
      <c r="D7" s="18">
        <f>'📋 Báo Cáo 49 Ngày'!I6</f>
        <v/>
      </c>
      <c r="E7" s="18">
        <f>'📋 Báo Cáo 49 Ngày'!K6</f>
        <v/>
      </c>
      <c r="F7" s="18">
        <f>'📋 Báo Cáo 49 Ngày'!M6</f>
        <v/>
      </c>
      <c r="G7" s="5">
        <f>IF(COUNTIF('📋 Báo Cáo 49 Ngày'!H6:N6, "&lt;&gt;")&gt;0, "🖼️ Có kèm ảnh", "—")</f>
        <v/>
      </c>
      <c r="H7" s="7">
        <f>'📋 Báo Cáo 49 Ngày'!O6</f>
        <v/>
      </c>
      <c r="I7" s="7">
        <f>'📋 Báo Cáo 49 Ngày'!P6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Ngày'!G7</f>
        <v/>
      </c>
      <c r="D8" s="18">
        <f>'📋 Báo Cáo 49 Ngày'!I7</f>
        <v/>
      </c>
      <c r="E8" s="18">
        <f>'📋 Báo Cáo 49 Ngày'!K7</f>
        <v/>
      </c>
      <c r="F8" s="18">
        <f>'📋 Báo Cáo 49 Ngày'!M7</f>
        <v/>
      </c>
      <c r="G8" s="5">
        <f>IF(COUNTIF('📋 Báo Cáo 49 Ngày'!H7:N7, "&lt;&gt;")&gt;0, "🖼️ Có kèm ảnh", "—")</f>
        <v/>
      </c>
      <c r="H8" s="7">
        <f>'📋 Báo Cáo 49 Ngày'!O7</f>
        <v/>
      </c>
      <c r="I8" s="7">
        <f>'📋 Báo Cáo 49 Ngày'!P7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Ngày'!G8</f>
        <v/>
      </c>
      <c r="D9" s="18">
        <f>'📋 Báo Cáo 49 Ngày'!I8</f>
        <v/>
      </c>
      <c r="E9" s="18">
        <f>'📋 Báo Cáo 49 Ngày'!K8</f>
        <v/>
      </c>
      <c r="F9" s="18">
        <f>'📋 Báo Cáo 49 Ngày'!M8</f>
        <v/>
      </c>
      <c r="G9" s="5">
        <f>IF(COUNTIF('📋 Báo Cáo 49 Ngày'!H8:N8, "&lt;&gt;")&gt;0, "🖼️ Có kèm ảnh", "—")</f>
        <v/>
      </c>
      <c r="H9" s="7">
        <f>'📋 Báo Cáo 49 Ngày'!O8</f>
        <v/>
      </c>
      <c r="I9" s="7">
        <f>'📋 Báo Cáo 49 Ngày'!P8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Ngày'!G9</f>
        <v/>
      </c>
      <c r="D10" s="18">
        <f>'📋 Báo Cáo 49 Ngày'!I9</f>
        <v/>
      </c>
      <c r="E10" s="18">
        <f>'📋 Báo Cáo 49 Ngày'!K9</f>
        <v/>
      </c>
      <c r="F10" s="18">
        <f>'📋 Báo Cáo 49 Ngày'!M9</f>
        <v/>
      </c>
      <c r="G10" s="5">
        <f>IF(COUNTIF('📋 Báo Cáo 49 Ngày'!H9:N9, "&lt;&gt;")&gt;0, "🖼️ Có kèm ảnh", "—")</f>
        <v/>
      </c>
      <c r="H10" s="7">
        <f>'📋 Báo Cáo 49 Ngày'!O9</f>
        <v/>
      </c>
      <c r="I10" s="7">
        <f>'📋 Báo Cáo 49 Ngày'!P9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Ngày'!G10</f>
        <v/>
      </c>
      <c r="D11" s="18">
        <f>'📋 Báo Cáo 49 Ngày'!I10</f>
        <v/>
      </c>
      <c r="E11" s="18">
        <f>'📋 Báo Cáo 49 Ngày'!K10</f>
        <v/>
      </c>
      <c r="F11" s="18">
        <f>'📋 Báo Cáo 49 Ngày'!M10</f>
        <v/>
      </c>
      <c r="G11" s="5">
        <f>IF(COUNTIF('📋 Báo Cáo 49 Ngày'!H10:N10, "&lt;&gt;")&gt;0, "🖼️ Có kèm ảnh", "—")</f>
        <v/>
      </c>
      <c r="H11" s="7">
        <f>'📋 Báo Cáo 49 Ngày'!O10</f>
        <v/>
      </c>
      <c r="I11" s="7">
        <f>'📋 Báo Cáo 49 Ngày'!P10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Ngày'!G11</f>
        <v/>
      </c>
      <c r="D12" s="18">
        <f>'📋 Báo Cáo 49 Ngày'!I11</f>
        <v/>
      </c>
      <c r="E12" s="18">
        <f>'📋 Báo Cáo 49 Ngày'!K11</f>
        <v/>
      </c>
      <c r="F12" s="18">
        <f>'📋 Báo Cáo 49 Ngày'!M11</f>
        <v/>
      </c>
      <c r="G12" s="5">
        <f>IF(COUNTIF('📋 Báo Cáo 49 Ngày'!H11:N11, "&lt;&gt;")&gt;0, "🖼️ Có kèm ảnh", "—")</f>
        <v/>
      </c>
      <c r="H12" s="7">
        <f>'📋 Báo Cáo 49 Ngày'!O11</f>
        <v/>
      </c>
      <c r="I12" s="7">
        <f>'📋 Báo Cáo 49 Ngày'!P11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Ngày'!G12</f>
        <v/>
      </c>
      <c r="D13" s="18">
        <f>'📋 Báo Cáo 49 Ngày'!I12</f>
        <v/>
      </c>
      <c r="E13" s="18">
        <f>'📋 Báo Cáo 49 Ngày'!K12</f>
        <v/>
      </c>
      <c r="F13" s="18">
        <f>'📋 Báo Cáo 49 Ngày'!M12</f>
        <v/>
      </c>
      <c r="G13" s="5">
        <f>IF(COUNTIF('📋 Báo Cáo 49 Ngày'!H12:N12, "&lt;&gt;")&gt;0, "🖼️ Có kèm ảnh", "—")</f>
        <v/>
      </c>
      <c r="H13" s="7">
        <f>'📋 Báo Cáo 49 Ngày'!O12</f>
        <v/>
      </c>
      <c r="I13" s="7">
        <f>'📋 Báo Cáo 49 Ngày'!P12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Ngày'!G13</f>
        <v/>
      </c>
      <c r="D14" s="18">
        <f>'📋 Báo Cáo 49 Ngày'!I13</f>
        <v/>
      </c>
      <c r="E14" s="18">
        <f>'📋 Báo Cáo 49 Ngày'!K13</f>
        <v/>
      </c>
      <c r="F14" s="18">
        <f>'📋 Báo Cáo 49 Ngày'!M13</f>
        <v/>
      </c>
      <c r="G14" s="5">
        <f>IF(COUNTIF('📋 Báo Cáo 49 Ngày'!H13:N13, "&lt;&gt;")&gt;0, "🖼️ Có kèm ảnh", "—")</f>
        <v/>
      </c>
      <c r="H14" s="7">
        <f>'📋 Báo Cáo 49 Ngày'!O13</f>
        <v/>
      </c>
      <c r="I14" s="7">
        <f>'📋 Báo Cáo 49 Ngày'!P13</f>
        <v/>
      </c>
      <c r="J14" s="18" t="inlineStr"/>
    </row>
    <row r="16">
      <c r="A16" s="20" t="inlineStr">
        <is>
          <t>📍 THỨ 4 (09/09/2026) - NGÀY 02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Ngày'!G14</f>
        <v/>
      </c>
      <c r="D18" s="18">
        <f>'📋 Báo Cáo 49 Ngày'!I14</f>
        <v/>
      </c>
      <c r="E18" s="18">
        <f>'📋 Báo Cáo 49 Ngày'!K14</f>
        <v/>
      </c>
      <c r="F18" s="18">
        <f>'📋 Báo Cáo 49 Ngày'!M14</f>
        <v/>
      </c>
      <c r="G18" s="5">
        <f>IF(COUNTIF('📋 Báo Cáo 49 Ngày'!H14:N14, "&lt;&gt;")&gt;0, "🖼️ Có kèm ảnh", "—")</f>
        <v/>
      </c>
      <c r="H18" s="7">
        <f>'📋 Báo Cáo 49 Ngày'!O14</f>
        <v/>
      </c>
      <c r="I18" s="7">
        <f>'📋 Báo Cáo 49 Ngày'!P14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Ngày'!G15</f>
        <v/>
      </c>
      <c r="D19" s="18">
        <f>'📋 Báo Cáo 49 Ngày'!I15</f>
        <v/>
      </c>
      <c r="E19" s="18">
        <f>'📋 Báo Cáo 49 Ngày'!K15</f>
        <v/>
      </c>
      <c r="F19" s="18">
        <f>'📋 Báo Cáo 49 Ngày'!M15</f>
        <v/>
      </c>
      <c r="G19" s="5">
        <f>IF(COUNTIF('📋 Báo Cáo 49 Ngày'!H15:N15, "&lt;&gt;")&gt;0, "🖼️ Có kèm ảnh", "—")</f>
        <v/>
      </c>
      <c r="H19" s="7">
        <f>'📋 Báo Cáo 49 Ngày'!O15</f>
        <v/>
      </c>
      <c r="I19" s="7">
        <f>'📋 Báo Cáo 49 Ngày'!P15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Ngày'!G16</f>
        <v/>
      </c>
      <c r="D20" s="18">
        <f>'📋 Báo Cáo 49 Ngày'!I16</f>
        <v/>
      </c>
      <c r="E20" s="18">
        <f>'📋 Báo Cáo 49 Ngày'!K16</f>
        <v/>
      </c>
      <c r="F20" s="18">
        <f>'📋 Báo Cáo 49 Ngày'!M16</f>
        <v/>
      </c>
      <c r="G20" s="5">
        <f>IF(COUNTIF('📋 Báo Cáo 49 Ngày'!H16:N16, "&lt;&gt;")&gt;0, "🖼️ Có kèm ảnh", "—")</f>
        <v/>
      </c>
      <c r="H20" s="7">
        <f>'📋 Báo Cáo 49 Ngày'!O16</f>
        <v/>
      </c>
      <c r="I20" s="7">
        <f>'📋 Báo Cáo 49 Ngày'!P16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Ngày'!G17</f>
        <v/>
      </c>
      <c r="D21" s="18">
        <f>'📋 Báo Cáo 49 Ngày'!I17</f>
        <v/>
      </c>
      <c r="E21" s="18">
        <f>'📋 Báo Cáo 49 Ngày'!K17</f>
        <v/>
      </c>
      <c r="F21" s="18">
        <f>'📋 Báo Cáo 49 Ngày'!M17</f>
        <v/>
      </c>
      <c r="G21" s="5">
        <f>IF(COUNTIF('📋 Báo Cáo 49 Ngày'!H17:N17, "&lt;&gt;")&gt;0, "🖼️ Có kèm ảnh", "—")</f>
        <v/>
      </c>
      <c r="H21" s="7">
        <f>'📋 Báo Cáo 49 Ngày'!O17</f>
        <v/>
      </c>
      <c r="I21" s="7">
        <f>'📋 Báo Cáo 49 Ngày'!P17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Ngày'!G18</f>
        <v/>
      </c>
      <c r="D22" s="18">
        <f>'📋 Báo Cáo 49 Ngày'!I18</f>
        <v/>
      </c>
      <c r="E22" s="18">
        <f>'📋 Báo Cáo 49 Ngày'!K18</f>
        <v/>
      </c>
      <c r="F22" s="18">
        <f>'📋 Báo Cáo 49 Ngày'!M18</f>
        <v/>
      </c>
      <c r="G22" s="5">
        <f>IF(COUNTIF('📋 Báo Cáo 49 Ngày'!H18:N18, "&lt;&gt;")&gt;0, "🖼️ Có kèm ảnh", "—")</f>
        <v/>
      </c>
      <c r="H22" s="7">
        <f>'📋 Báo Cáo 49 Ngày'!O18</f>
        <v/>
      </c>
      <c r="I22" s="7">
        <f>'📋 Báo Cáo 49 Ngày'!P18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Ngày'!G19</f>
        <v/>
      </c>
      <c r="D23" s="18">
        <f>'📋 Báo Cáo 49 Ngày'!I19</f>
        <v/>
      </c>
      <c r="E23" s="18">
        <f>'📋 Báo Cáo 49 Ngày'!K19</f>
        <v/>
      </c>
      <c r="F23" s="18">
        <f>'📋 Báo Cáo 49 Ngày'!M19</f>
        <v/>
      </c>
      <c r="G23" s="5">
        <f>IF(COUNTIF('📋 Báo Cáo 49 Ngày'!H19:N19, "&lt;&gt;")&gt;0, "🖼️ Có kèm ảnh", "—")</f>
        <v/>
      </c>
      <c r="H23" s="7">
        <f>'📋 Báo Cáo 49 Ngày'!O19</f>
        <v/>
      </c>
      <c r="I23" s="7">
        <f>'📋 Báo Cáo 49 Ngày'!P19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Ngày'!G20</f>
        <v/>
      </c>
      <c r="D24" s="18">
        <f>'📋 Báo Cáo 49 Ngày'!I20</f>
        <v/>
      </c>
      <c r="E24" s="18">
        <f>'📋 Báo Cáo 49 Ngày'!K20</f>
        <v/>
      </c>
      <c r="F24" s="18">
        <f>'📋 Báo Cáo 49 Ngày'!M20</f>
        <v/>
      </c>
      <c r="G24" s="5">
        <f>IF(COUNTIF('📋 Báo Cáo 49 Ngày'!H20:N20, "&lt;&gt;")&gt;0, "🖼️ Có kèm ảnh", "—")</f>
        <v/>
      </c>
      <c r="H24" s="7">
        <f>'📋 Báo Cáo 49 Ngày'!O20</f>
        <v/>
      </c>
      <c r="I24" s="7">
        <f>'📋 Báo Cáo 49 Ngày'!P20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Ngày'!G21</f>
        <v/>
      </c>
      <c r="D25" s="18">
        <f>'📋 Báo Cáo 49 Ngày'!I21</f>
        <v/>
      </c>
      <c r="E25" s="18">
        <f>'📋 Báo Cáo 49 Ngày'!K21</f>
        <v/>
      </c>
      <c r="F25" s="18">
        <f>'📋 Báo Cáo 49 Ngày'!M21</f>
        <v/>
      </c>
      <c r="G25" s="5">
        <f>IF(COUNTIF('📋 Báo Cáo 49 Ngày'!H21:N21, "&lt;&gt;")&gt;0, "🖼️ Có kèm ảnh", "—")</f>
        <v/>
      </c>
      <c r="H25" s="7">
        <f>'📋 Báo Cáo 49 Ngày'!O21</f>
        <v/>
      </c>
      <c r="I25" s="7">
        <f>'📋 Báo Cáo 49 Ngày'!P21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Ngày'!G22</f>
        <v/>
      </c>
      <c r="D26" s="18">
        <f>'📋 Báo Cáo 49 Ngày'!I22</f>
        <v/>
      </c>
      <c r="E26" s="18">
        <f>'📋 Báo Cáo 49 Ngày'!K22</f>
        <v/>
      </c>
      <c r="F26" s="18">
        <f>'📋 Báo Cáo 49 Ngày'!M22</f>
        <v/>
      </c>
      <c r="G26" s="5">
        <f>IF(COUNTIF('📋 Báo Cáo 49 Ngày'!H22:N22, "&lt;&gt;")&gt;0, "🖼️ Có kèm ảnh", "—")</f>
        <v/>
      </c>
      <c r="H26" s="7">
        <f>'📋 Báo Cáo 49 Ngày'!O22</f>
        <v/>
      </c>
      <c r="I26" s="7">
        <f>'📋 Báo Cáo 49 Ngày'!P22</f>
        <v/>
      </c>
      <c r="J26" s="18" t="inlineStr"/>
    </row>
    <row r="28">
      <c r="A28" s="20" t="inlineStr">
        <is>
          <t>📍 THỨ 5 (10/09/2026) - NGÀY 03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Ngày'!G23</f>
        <v/>
      </c>
      <c r="D30" s="18">
        <f>'📋 Báo Cáo 49 Ngày'!I23</f>
        <v/>
      </c>
      <c r="E30" s="18">
        <f>'📋 Báo Cáo 49 Ngày'!K23</f>
        <v/>
      </c>
      <c r="F30" s="18">
        <f>'📋 Báo Cáo 49 Ngày'!M23</f>
        <v/>
      </c>
      <c r="G30" s="5">
        <f>IF(COUNTIF('📋 Báo Cáo 49 Ngày'!H23:N23, "&lt;&gt;")&gt;0, "🖼️ Có kèm ảnh", "—")</f>
        <v/>
      </c>
      <c r="H30" s="7">
        <f>'📋 Báo Cáo 49 Ngày'!O23</f>
        <v/>
      </c>
      <c r="I30" s="7">
        <f>'📋 Báo Cáo 49 Ngày'!P23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Ngày'!G24</f>
        <v/>
      </c>
      <c r="D31" s="18">
        <f>'📋 Báo Cáo 49 Ngày'!I24</f>
        <v/>
      </c>
      <c r="E31" s="18">
        <f>'📋 Báo Cáo 49 Ngày'!K24</f>
        <v/>
      </c>
      <c r="F31" s="18">
        <f>'📋 Báo Cáo 49 Ngày'!M24</f>
        <v/>
      </c>
      <c r="G31" s="5">
        <f>IF(COUNTIF('📋 Báo Cáo 49 Ngày'!H24:N24, "&lt;&gt;")&gt;0, "🖼️ Có kèm ảnh", "—")</f>
        <v/>
      </c>
      <c r="H31" s="7">
        <f>'📋 Báo Cáo 49 Ngày'!O24</f>
        <v/>
      </c>
      <c r="I31" s="7">
        <f>'📋 Báo Cáo 49 Ngày'!P24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Ngày'!G25</f>
        <v/>
      </c>
      <c r="D32" s="18">
        <f>'📋 Báo Cáo 49 Ngày'!I25</f>
        <v/>
      </c>
      <c r="E32" s="18">
        <f>'📋 Báo Cáo 49 Ngày'!K25</f>
        <v/>
      </c>
      <c r="F32" s="18">
        <f>'📋 Báo Cáo 49 Ngày'!M25</f>
        <v/>
      </c>
      <c r="G32" s="5">
        <f>IF(COUNTIF('📋 Báo Cáo 49 Ngày'!H25:N25, "&lt;&gt;")&gt;0, "🖼️ Có kèm ảnh", "—")</f>
        <v/>
      </c>
      <c r="H32" s="7">
        <f>'📋 Báo Cáo 49 Ngày'!O25</f>
        <v/>
      </c>
      <c r="I32" s="7">
        <f>'📋 Báo Cáo 49 Ngày'!P25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Ngày'!G26</f>
        <v/>
      </c>
      <c r="D33" s="18">
        <f>'📋 Báo Cáo 49 Ngày'!I26</f>
        <v/>
      </c>
      <c r="E33" s="18">
        <f>'📋 Báo Cáo 49 Ngày'!K26</f>
        <v/>
      </c>
      <c r="F33" s="18">
        <f>'📋 Báo Cáo 49 Ngày'!M26</f>
        <v/>
      </c>
      <c r="G33" s="5">
        <f>IF(COUNTIF('📋 Báo Cáo 49 Ngày'!H26:N26, "&lt;&gt;")&gt;0, "🖼️ Có kèm ảnh", "—")</f>
        <v/>
      </c>
      <c r="H33" s="7">
        <f>'📋 Báo Cáo 49 Ngày'!O26</f>
        <v/>
      </c>
      <c r="I33" s="7">
        <f>'📋 Báo Cáo 49 Ngày'!P26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Ngày'!G27</f>
        <v/>
      </c>
      <c r="D34" s="18">
        <f>'📋 Báo Cáo 49 Ngày'!I27</f>
        <v/>
      </c>
      <c r="E34" s="18">
        <f>'📋 Báo Cáo 49 Ngày'!K27</f>
        <v/>
      </c>
      <c r="F34" s="18">
        <f>'📋 Báo Cáo 49 Ngày'!M27</f>
        <v/>
      </c>
      <c r="G34" s="5">
        <f>IF(COUNTIF('📋 Báo Cáo 49 Ngày'!H27:N27, "&lt;&gt;")&gt;0, "🖼️ Có kèm ảnh", "—")</f>
        <v/>
      </c>
      <c r="H34" s="7">
        <f>'📋 Báo Cáo 49 Ngày'!O27</f>
        <v/>
      </c>
      <c r="I34" s="7">
        <f>'📋 Báo Cáo 49 Ngày'!P27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Ngày'!G28</f>
        <v/>
      </c>
      <c r="D35" s="18">
        <f>'📋 Báo Cáo 49 Ngày'!I28</f>
        <v/>
      </c>
      <c r="E35" s="18">
        <f>'📋 Báo Cáo 49 Ngày'!K28</f>
        <v/>
      </c>
      <c r="F35" s="18">
        <f>'📋 Báo Cáo 49 Ngày'!M28</f>
        <v/>
      </c>
      <c r="G35" s="5">
        <f>IF(COUNTIF('📋 Báo Cáo 49 Ngày'!H28:N28, "&lt;&gt;")&gt;0, "🖼️ Có kèm ảnh", "—")</f>
        <v/>
      </c>
      <c r="H35" s="7">
        <f>'📋 Báo Cáo 49 Ngày'!O28</f>
        <v/>
      </c>
      <c r="I35" s="7">
        <f>'📋 Báo Cáo 49 Ngày'!P28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Ngày'!G29</f>
        <v/>
      </c>
      <c r="D36" s="18">
        <f>'📋 Báo Cáo 49 Ngày'!I29</f>
        <v/>
      </c>
      <c r="E36" s="18">
        <f>'📋 Báo Cáo 49 Ngày'!K29</f>
        <v/>
      </c>
      <c r="F36" s="18">
        <f>'📋 Báo Cáo 49 Ngày'!M29</f>
        <v/>
      </c>
      <c r="G36" s="5">
        <f>IF(COUNTIF('📋 Báo Cáo 49 Ngày'!H29:N29, "&lt;&gt;")&gt;0, "🖼️ Có kèm ảnh", "—")</f>
        <v/>
      </c>
      <c r="H36" s="7">
        <f>'📋 Báo Cáo 49 Ngày'!O29</f>
        <v/>
      </c>
      <c r="I36" s="7">
        <f>'📋 Báo Cáo 49 Ngày'!P29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Ngày'!G30</f>
        <v/>
      </c>
      <c r="D37" s="18">
        <f>'📋 Báo Cáo 49 Ngày'!I30</f>
        <v/>
      </c>
      <c r="E37" s="18">
        <f>'📋 Báo Cáo 49 Ngày'!K30</f>
        <v/>
      </c>
      <c r="F37" s="18">
        <f>'📋 Báo Cáo 49 Ngày'!M30</f>
        <v/>
      </c>
      <c r="G37" s="5">
        <f>IF(COUNTIF('📋 Báo Cáo 49 Ngày'!H30:N30, "&lt;&gt;")&gt;0, "🖼️ Có kèm ảnh", "—")</f>
        <v/>
      </c>
      <c r="H37" s="7">
        <f>'📋 Báo Cáo 49 Ngày'!O30</f>
        <v/>
      </c>
      <c r="I37" s="7">
        <f>'📋 Báo Cáo 49 Ngày'!P30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Ngày'!G31</f>
        <v/>
      </c>
      <c r="D38" s="18">
        <f>'📋 Báo Cáo 49 Ngày'!I31</f>
        <v/>
      </c>
      <c r="E38" s="18">
        <f>'📋 Báo Cáo 49 Ngày'!K31</f>
        <v/>
      </c>
      <c r="F38" s="18">
        <f>'📋 Báo Cáo 49 Ngày'!M31</f>
        <v/>
      </c>
      <c r="G38" s="5">
        <f>IF(COUNTIF('📋 Báo Cáo 49 Ngày'!H31:N31, "&lt;&gt;")&gt;0, "🖼️ Có kèm ảnh", "—")</f>
        <v/>
      </c>
      <c r="H38" s="7">
        <f>'📋 Báo Cáo 49 Ngày'!O31</f>
        <v/>
      </c>
      <c r="I38" s="7">
        <f>'📋 Báo Cáo 49 Ngày'!P31</f>
        <v/>
      </c>
      <c r="J38" s="18" t="inlineStr"/>
    </row>
    <row r="40">
      <c r="A40" s="20" t="inlineStr">
        <is>
          <t>📍 THỨ 6 (11/09/2026) - NGÀY 04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Ngày'!G32</f>
        <v/>
      </c>
      <c r="D42" s="18">
        <f>'📋 Báo Cáo 49 Ngày'!I32</f>
        <v/>
      </c>
      <c r="E42" s="18">
        <f>'📋 Báo Cáo 49 Ngày'!K32</f>
        <v/>
      </c>
      <c r="F42" s="18">
        <f>'📋 Báo Cáo 49 Ngày'!M32</f>
        <v/>
      </c>
      <c r="G42" s="5">
        <f>IF(COUNTIF('📋 Báo Cáo 49 Ngày'!H32:N32, "&lt;&gt;")&gt;0, "🖼️ Có kèm ảnh", "—")</f>
        <v/>
      </c>
      <c r="H42" s="7">
        <f>'📋 Báo Cáo 49 Ngày'!O32</f>
        <v/>
      </c>
      <c r="I42" s="7">
        <f>'📋 Báo Cáo 49 Ngày'!P32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Ngày'!G33</f>
        <v/>
      </c>
      <c r="D43" s="18">
        <f>'📋 Báo Cáo 49 Ngày'!I33</f>
        <v/>
      </c>
      <c r="E43" s="18">
        <f>'📋 Báo Cáo 49 Ngày'!K33</f>
        <v/>
      </c>
      <c r="F43" s="18">
        <f>'📋 Báo Cáo 49 Ngày'!M33</f>
        <v/>
      </c>
      <c r="G43" s="5">
        <f>IF(COUNTIF('📋 Báo Cáo 49 Ngày'!H33:N33, "&lt;&gt;")&gt;0, "🖼️ Có kèm ảnh", "—")</f>
        <v/>
      </c>
      <c r="H43" s="7">
        <f>'📋 Báo Cáo 49 Ngày'!O33</f>
        <v/>
      </c>
      <c r="I43" s="7">
        <f>'📋 Báo Cáo 49 Ngày'!P33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Ngày'!G34</f>
        <v/>
      </c>
      <c r="D44" s="18">
        <f>'📋 Báo Cáo 49 Ngày'!I34</f>
        <v/>
      </c>
      <c r="E44" s="18">
        <f>'📋 Báo Cáo 49 Ngày'!K34</f>
        <v/>
      </c>
      <c r="F44" s="18">
        <f>'📋 Báo Cáo 49 Ngày'!M34</f>
        <v/>
      </c>
      <c r="G44" s="5">
        <f>IF(COUNTIF('📋 Báo Cáo 49 Ngày'!H34:N34, "&lt;&gt;")&gt;0, "🖼️ Có kèm ảnh", "—")</f>
        <v/>
      </c>
      <c r="H44" s="7">
        <f>'📋 Báo Cáo 49 Ngày'!O34</f>
        <v/>
      </c>
      <c r="I44" s="7">
        <f>'📋 Báo Cáo 49 Ngày'!P34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Ngày'!G35</f>
        <v/>
      </c>
      <c r="D45" s="18">
        <f>'📋 Báo Cáo 49 Ngày'!I35</f>
        <v/>
      </c>
      <c r="E45" s="18">
        <f>'📋 Báo Cáo 49 Ngày'!K35</f>
        <v/>
      </c>
      <c r="F45" s="18">
        <f>'📋 Báo Cáo 49 Ngày'!M35</f>
        <v/>
      </c>
      <c r="G45" s="5">
        <f>IF(COUNTIF('📋 Báo Cáo 49 Ngày'!H35:N35, "&lt;&gt;")&gt;0, "🖼️ Có kèm ảnh", "—")</f>
        <v/>
      </c>
      <c r="H45" s="7">
        <f>'📋 Báo Cáo 49 Ngày'!O35</f>
        <v/>
      </c>
      <c r="I45" s="7">
        <f>'📋 Báo Cáo 49 Ngày'!P35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Ngày'!G36</f>
        <v/>
      </c>
      <c r="D46" s="18">
        <f>'📋 Báo Cáo 49 Ngày'!I36</f>
        <v/>
      </c>
      <c r="E46" s="18">
        <f>'📋 Báo Cáo 49 Ngày'!K36</f>
        <v/>
      </c>
      <c r="F46" s="18">
        <f>'📋 Báo Cáo 49 Ngày'!M36</f>
        <v/>
      </c>
      <c r="G46" s="5">
        <f>IF(COUNTIF('📋 Báo Cáo 49 Ngày'!H36:N36, "&lt;&gt;")&gt;0, "🖼️ Có kèm ảnh", "—")</f>
        <v/>
      </c>
      <c r="H46" s="7">
        <f>'📋 Báo Cáo 49 Ngày'!O36</f>
        <v/>
      </c>
      <c r="I46" s="7">
        <f>'📋 Báo Cáo 49 Ngày'!P36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Ngày'!G37</f>
        <v/>
      </c>
      <c r="D47" s="18">
        <f>'📋 Báo Cáo 49 Ngày'!I37</f>
        <v/>
      </c>
      <c r="E47" s="18">
        <f>'📋 Báo Cáo 49 Ngày'!K37</f>
        <v/>
      </c>
      <c r="F47" s="18">
        <f>'📋 Báo Cáo 49 Ngày'!M37</f>
        <v/>
      </c>
      <c r="G47" s="5">
        <f>IF(COUNTIF('📋 Báo Cáo 49 Ngày'!H37:N37, "&lt;&gt;")&gt;0, "🖼️ Có kèm ảnh", "—")</f>
        <v/>
      </c>
      <c r="H47" s="7">
        <f>'📋 Báo Cáo 49 Ngày'!O37</f>
        <v/>
      </c>
      <c r="I47" s="7">
        <f>'📋 Báo Cáo 49 Ngày'!P37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Ngày'!G38</f>
        <v/>
      </c>
      <c r="D48" s="18">
        <f>'📋 Báo Cáo 49 Ngày'!I38</f>
        <v/>
      </c>
      <c r="E48" s="18">
        <f>'📋 Báo Cáo 49 Ngày'!K38</f>
        <v/>
      </c>
      <c r="F48" s="18">
        <f>'📋 Báo Cáo 49 Ngày'!M38</f>
        <v/>
      </c>
      <c r="G48" s="5">
        <f>IF(COUNTIF('📋 Báo Cáo 49 Ngày'!H38:N38, "&lt;&gt;")&gt;0, "🖼️ Có kèm ảnh", "—")</f>
        <v/>
      </c>
      <c r="H48" s="7">
        <f>'📋 Báo Cáo 49 Ngày'!O38</f>
        <v/>
      </c>
      <c r="I48" s="7">
        <f>'📋 Báo Cáo 49 Ngày'!P38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Ngày'!G39</f>
        <v/>
      </c>
      <c r="D49" s="18">
        <f>'📋 Báo Cáo 49 Ngày'!I39</f>
        <v/>
      </c>
      <c r="E49" s="18">
        <f>'📋 Báo Cáo 49 Ngày'!K39</f>
        <v/>
      </c>
      <c r="F49" s="18">
        <f>'📋 Báo Cáo 49 Ngày'!M39</f>
        <v/>
      </c>
      <c r="G49" s="5">
        <f>IF(COUNTIF('📋 Báo Cáo 49 Ngày'!H39:N39, "&lt;&gt;")&gt;0, "🖼️ Có kèm ảnh", "—")</f>
        <v/>
      </c>
      <c r="H49" s="7">
        <f>'📋 Báo Cáo 49 Ngày'!O39</f>
        <v/>
      </c>
      <c r="I49" s="7">
        <f>'📋 Báo Cáo 49 Ngày'!P39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Ngày'!G40</f>
        <v/>
      </c>
      <c r="D50" s="18">
        <f>'📋 Báo Cáo 49 Ngày'!I40</f>
        <v/>
      </c>
      <c r="E50" s="18">
        <f>'📋 Báo Cáo 49 Ngày'!K40</f>
        <v/>
      </c>
      <c r="F50" s="18">
        <f>'📋 Báo Cáo 49 Ngày'!M40</f>
        <v/>
      </c>
      <c r="G50" s="5">
        <f>IF(COUNTIF('📋 Báo Cáo 49 Ngày'!H40:N40, "&lt;&gt;")&gt;0, "🖼️ Có kèm ảnh", "—")</f>
        <v/>
      </c>
      <c r="H50" s="7">
        <f>'📋 Báo Cáo 49 Ngày'!O40</f>
        <v/>
      </c>
      <c r="I50" s="7">
        <f>'📋 Báo Cáo 49 Ngày'!P40</f>
        <v/>
      </c>
      <c r="J50" s="18" t="inlineStr"/>
    </row>
    <row r="52">
      <c r="A52" s="20" t="inlineStr">
        <is>
          <t>📍 THỨ 7 (12/09/2026) - NGÀY 05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Ngày'!G41</f>
        <v/>
      </c>
      <c r="D54" s="18">
        <f>'📋 Báo Cáo 49 Ngày'!I41</f>
        <v/>
      </c>
      <c r="E54" s="18">
        <f>'📋 Báo Cáo 49 Ngày'!K41</f>
        <v/>
      </c>
      <c r="F54" s="18">
        <f>'📋 Báo Cáo 49 Ngày'!M41</f>
        <v/>
      </c>
      <c r="G54" s="5">
        <f>IF(COUNTIF('📋 Báo Cáo 49 Ngày'!H41:N41, "&lt;&gt;")&gt;0, "🖼️ Có kèm ảnh", "—")</f>
        <v/>
      </c>
      <c r="H54" s="7">
        <f>'📋 Báo Cáo 49 Ngày'!O41</f>
        <v/>
      </c>
      <c r="I54" s="7">
        <f>'📋 Báo Cáo 49 Ngày'!P41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Ngày'!G42</f>
        <v/>
      </c>
      <c r="D55" s="18">
        <f>'📋 Báo Cáo 49 Ngày'!I42</f>
        <v/>
      </c>
      <c r="E55" s="18">
        <f>'📋 Báo Cáo 49 Ngày'!K42</f>
        <v/>
      </c>
      <c r="F55" s="18">
        <f>'📋 Báo Cáo 49 Ngày'!M42</f>
        <v/>
      </c>
      <c r="G55" s="5">
        <f>IF(COUNTIF('📋 Báo Cáo 49 Ngày'!H42:N42, "&lt;&gt;")&gt;0, "🖼️ Có kèm ảnh", "—")</f>
        <v/>
      </c>
      <c r="H55" s="7">
        <f>'📋 Báo Cáo 49 Ngày'!O42</f>
        <v/>
      </c>
      <c r="I55" s="7">
        <f>'📋 Báo Cáo 49 Ngày'!P42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Ngày'!G43</f>
        <v/>
      </c>
      <c r="D56" s="18">
        <f>'📋 Báo Cáo 49 Ngày'!I43</f>
        <v/>
      </c>
      <c r="E56" s="18">
        <f>'📋 Báo Cáo 49 Ngày'!K43</f>
        <v/>
      </c>
      <c r="F56" s="18">
        <f>'📋 Báo Cáo 49 Ngày'!M43</f>
        <v/>
      </c>
      <c r="G56" s="5">
        <f>IF(COUNTIF('📋 Báo Cáo 49 Ngày'!H43:N43, "&lt;&gt;")&gt;0, "🖼️ Có kèm ảnh", "—")</f>
        <v/>
      </c>
      <c r="H56" s="7">
        <f>'📋 Báo Cáo 49 Ngày'!O43</f>
        <v/>
      </c>
      <c r="I56" s="7">
        <f>'📋 Báo Cáo 49 Ngày'!P43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Ngày'!G44</f>
        <v/>
      </c>
      <c r="D57" s="18">
        <f>'📋 Báo Cáo 49 Ngày'!I44</f>
        <v/>
      </c>
      <c r="E57" s="18">
        <f>'📋 Báo Cáo 49 Ngày'!K44</f>
        <v/>
      </c>
      <c r="F57" s="18">
        <f>'📋 Báo Cáo 49 Ngày'!M44</f>
        <v/>
      </c>
      <c r="G57" s="5">
        <f>IF(COUNTIF('📋 Báo Cáo 49 Ngày'!H44:N44, "&lt;&gt;")&gt;0, "🖼️ Có kèm ảnh", "—")</f>
        <v/>
      </c>
      <c r="H57" s="7">
        <f>'📋 Báo Cáo 49 Ngày'!O44</f>
        <v/>
      </c>
      <c r="I57" s="7">
        <f>'📋 Báo Cáo 49 Ngày'!P44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Ngày'!G45</f>
        <v/>
      </c>
      <c r="D58" s="18">
        <f>'📋 Báo Cáo 49 Ngày'!I45</f>
        <v/>
      </c>
      <c r="E58" s="18">
        <f>'📋 Báo Cáo 49 Ngày'!K45</f>
        <v/>
      </c>
      <c r="F58" s="18">
        <f>'📋 Báo Cáo 49 Ngày'!M45</f>
        <v/>
      </c>
      <c r="G58" s="5">
        <f>IF(COUNTIF('📋 Báo Cáo 49 Ngày'!H45:N45, "&lt;&gt;")&gt;0, "🖼️ Có kèm ảnh", "—")</f>
        <v/>
      </c>
      <c r="H58" s="7">
        <f>'📋 Báo Cáo 49 Ngày'!O45</f>
        <v/>
      </c>
      <c r="I58" s="7">
        <f>'📋 Báo Cáo 49 Ngày'!P45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Ngày'!G46</f>
        <v/>
      </c>
      <c r="D59" s="18">
        <f>'📋 Báo Cáo 49 Ngày'!I46</f>
        <v/>
      </c>
      <c r="E59" s="18">
        <f>'📋 Báo Cáo 49 Ngày'!K46</f>
        <v/>
      </c>
      <c r="F59" s="18">
        <f>'📋 Báo Cáo 49 Ngày'!M46</f>
        <v/>
      </c>
      <c r="G59" s="5">
        <f>IF(COUNTIF('📋 Báo Cáo 49 Ngày'!H46:N46, "&lt;&gt;")&gt;0, "🖼️ Có kèm ảnh", "—")</f>
        <v/>
      </c>
      <c r="H59" s="7">
        <f>'📋 Báo Cáo 49 Ngày'!O46</f>
        <v/>
      </c>
      <c r="I59" s="7">
        <f>'📋 Báo Cáo 49 Ngày'!P46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Ngày'!G47</f>
        <v/>
      </c>
      <c r="D60" s="18">
        <f>'📋 Báo Cáo 49 Ngày'!I47</f>
        <v/>
      </c>
      <c r="E60" s="18">
        <f>'📋 Báo Cáo 49 Ngày'!K47</f>
        <v/>
      </c>
      <c r="F60" s="18">
        <f>'📋 Báo Cáo 49 Ngày'!M47</f>
        <v/>
      </c>
      <c r="G60" s="5">
        <f>IF(COUNTIF('📋 Báo Cáo 49 Ngày'!H47:N47, "&lt;&gt;")&gt;0, "🖼️ Có kèm ảnh", "—")</f>
        <v/>
      </c>
      <c r="H60" s="7">
        <f>'📋 Báo Cáo 49 Ngày'!O47</f>
        <v/>
      </c>
      <c r="I60" s="7">
        <f>'📋 Báo Cáo 49 Ngày'!P47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Ngày'!G48</f>
        <v/>
      </c>
      <c r="D61" s="18">
        <f>'📋 Báo Cáo 49 Ngày'!I48</f>
        <v/>
      </c>
      <c r="E61" s="18">
        <f>'📋 Báo Cáo 49 Ngày'!K48</f>
        <v/>
      </c>
      <c r="F61" s="18">
        <f>'📋 Báo Cáo 49 Ngày'!M48</f>
        <v/>
      </c>
      <c r="G61" s="5">
        <f>IF(COUNTIF('📋 Báo Cáo 49 Ngày'!H48:N48, "&lt;&gt;")&gt;0, "🖼️ Có kèm ảnh", "—")</f>
        <v/>
      </c>
      <c r="H61" s="7">
        <f>'📋 Báo Cáo 49 Ngày'!O48</f>
        <v/>
      </c>
      <c r="I61" s="7">
        <f>'📋 Báo Cáo 49 Ngày'!P48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Ngày'!G49</f>
        <v/>
      </c>
      <c r="D62" s="18">
        <f>'📋 Báo Cáo 49 Ngày'!I49</f>
        <v/>
      </c>
      <c r="E62" s="18">
        <f>'📋 Báo Cáo 49 Ngày'!K49</f>
        <v/>
      </c>
      <c r="F62" s="18">
        <f>'📋 Báo Cáo 49 Ngày'!M49</f>
        <v/>
      </c>
      <c r="G62" s="5">
        <f>IF(COUNTIF('📋 Báo Cáo 49 Ngày'!H49:N49, "&lt;&gt;")&gt;0, "🖼️ Có kèm ảnh", "—")</f>
        <v/>
      </c>
      <c r="H62" s="7">
        <f>'📋 Báo Cáo 49 Ngày'!O49</f>
        <v/>
      </c>
      <c r="I62" s="7">
        <f>'📋 Báo Cáo 49 Ngày'!P49</f>
        <v/>
      </c>
      <c r="J62" s="18" t="inlineStr"/>
    </row>
    <row r="64">
      <c r="A64" s="20" t="inlineStr">
        <is>
          <t>📍 CHỦ NHẬT (13/09/2026) - NGÀY 06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Ngày'!G50</f>
        <v/>
      </c>
      <c r="D66" s="18">
        <f>'📋 Báo Cáo 49 Ngày'!I50</f>
        <v/>
      </c>
      <c r="E66" s="18">
        <f>'📋 Báo Cáo 49 Ngày'!K50</f>
        <v/>
      </c>
      <c r="F66" s="18">
        <f>'📋 Báo Cáo 49 Ngày'!M50</f>
        <v/>
      </c>
      <c r="G66" s="5">
        <f>IF(COUNTIF('📋 Báo Cáo 49 Ngày'!H50:N50, "&lt;&gt;")&gt;0, "🖼️ Có kèm ảnh", "—")</f>
        <v/>
      </c>
      <c r="H66" s="7">
        <f>'📋 Báo Cáo 49 Ngày'!O50</f>
        <v/>
      </c>
      <c r="I66" s="7">
        <f>'📋 Báo Cáo 49 Ngày'!P50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Ngày'!G51</f>
        <v/>
      </c>
      <c r="D67" s="18">
        <f>'📋 Báo Cáo 49 Ngày'!I51</f>
        <v/>
      </c>
      <c r="E67" s="18">
        <f>'📋 Báo Cáo 49 Ngày'!K51</f>
        <v/>
      </c>
      <c r="F67" s="18">
        <f>'📋 Báo Cáo 49 Ngày'!M51</f>
        <v/>
      </c>
      <c r="G67" s="5">
        <f>IF(COUNTIF('📋 Báo Cáo 49 Ngày'!H51:N51, "&lt;&gt;")&gt;0, "🖼️ Có kèm ảnh", "—")</f>
        <v/>
      </c>
      <c r="H67" s="7">
        <f>'📋 Báo Cáo 49 Ngày'!O51</f>
        <v/>
      </c>
      <c r="I67" s="7">
        <f>'📋 Báo Cáo 49 Ngày'!P51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Ngày'!G52</f>
        <v/>
      </c>
      <c r="D68" s="18">
        <f>'📋 Báo Cáo 49 Ngày'!I52</f>
        <v/>
      </c>
      <c r="E68" s="18">
        <f>'📋 Báo Cáo 49 Ngày'!K52</f>
        <v/>
      </c>
      <c r="F68" s="18">
        <f>'📋 Báo Cáo 49 Ngày'!M52</f>
        <v/>
      </c>
      <c r="G68" s="5">
        <f>IF(COUNTIF('📋 Báo Cáo 49 Ngày'!H52:N52, "&lt;&gt;")&gt;0, "🖼️ Có kèm ảnh", "—")</f>
        <v/>
      </c>
      <c r="H68" s="7">
        <f>'📋 Báo Cáo 49 Ngày'!O52</f>
        <v/>
      </c>
      <c r="I68" s="7">
        <f>'📋 Báo Cáo 49 Ngày'!P52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Ngày'!G53</f>
        <v/>
      </c>
      <c r="D69" s="18">
        <f>'📋 Báo Cáo 49 Ngày'!I53</f>
        <v/>
      </c>
      <c r="E69" s="18">
        <f>'📋 Báo Cáo 49 Ngày'!K53</f>
        <v/>
      </c>
      <c r="F69" s="18">
        <f>'📋 Báo Cáo 49 Ngày'!M53</f>
        <v/>
      </c>
      <c r="G69" s="5">
        <f>IF(COUNTIF('📋 Báo Cáo 49 Ngày'!H53:N53, "&lt;&gt;")&gt;0, "🖼️ Có kèm ảnh", "—")</f>
        <v/>
      </c>
      <c r="H69" s="7">
        <f>'📋 Báo Cáo 49 Ngày'!O53</f>
        <v/>
      </c>
      <c r="I69" s="7">
        <f>'📋 Báo Cáo 49 Ngày'!P53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Ngày'!G54</f>
        <v/>
      </c>
      <c r="D70" s="18">
        <f>'📋 Báo Cáo 49 Ngày'!I54</f>
        <v/>
      </c>
      <c r="E70" s="18">
        <f>'📋 Báo Cáo 49 Ngày'!K54</f>
        <v/>
      </c>
      <c r="F70" s="18">
        <f>'📋 Báo Cáo 49 Ngày'!M54</f>
        <v/>
      </c>
      <c r="G70" s="5">
        <f>IF(COUNTIF('📋 Báo Cáo 49 Ngày'!H54:N54, "&lt;&gt;")&gt;0, "🖼️ Có kèm ảnh", "—")</f>
        <v/>
      </c>
      <c r="H70" s="7">
        <f>'📋 Báo Cáo 49 Ngày'!O54</f>
        <v/>
      </c>
      <c r="I70" s="7">
        <f>'📋 Báo Cáo 49 Ngày'!P54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Ngày'!G55</f>
        <v/>
      </c>
      <c r="D71" s="18">
        <f>'📋 Báo Cáo 49 Ngày'!I55</f>
        <v/>
      </c>
      <c r="E71" s="18">
        <f>'📋 Báo Cáo 49 Ngày'!K55</f>
        <v/>
      </c>
      <c r="F71" s="18">
        <f>'📋 Báo Cáo 49 Ngày'!M55</f>
        <v/>
      </c>
      <c r="G71" s="5">
        <f>IF(COUNTIF('📋 Báo Cáo 49 Ngày'!H55:N55, "&lt;&gt;")&gt;0, "🖼️ Có kèm ảnh", "—")</f>
        <v/>
      </c>
      <c r="H71" s="7">
        <f>'📋 Báo Cáo 49 Ngày'!O55</f>
        <v/>
      </c>
      <c r="I71" s="7">
        <f>'📋 Báo Cáo 49 Ngày'!P55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Ngày'!G56</f>
        <v/>
      </c>
      <c r="D72" s="18">
        <f>'📋 Báo Cáo 49 Ngày'!I56</f>
        <v/>
      </c>
      <c r="E72" s="18">
        <f>'📋 Báo Cáo 49 Ngày'!K56</f>
        <v/>
      </c>
      <c r="F72" s="18">
        <f>'📋 Báo Cáo 49 Ngày'!M56</f>
        <v/>
      </c>
      <c r="G72" s="5">
        <f>IF(COUNTIF('📋 Báo Cáo 49 Ngày'!H56:N56, "&lt;&gt;")&gt;0, "🖼️ Có kèm ảnh", "—")</f>
        <v/>
      </c>
      <c r="H72" s="7">
        <f>'📋 Báo Cáo 49 Ngày'!O56</f>
        <v/>
      </c>
      <c r="I72" s="7">
        <f>'📋 Báo Cáo 49 Ngày'!P56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Ngày'!G57</f>
        <v/>
      </c>
      <c r="D73" s="18">
        <f>'📋 Báo Cáo 49 Ngày'!I57</f>
        <v/>
      </c>
      <c r="E73" s="18">
        <f>'📋 Báo Cáo 49 Ngày'!K57</f>
        <v/>
      </c>
      <c r="F73" s="18">
        <f>'📋 Báo Cáo 49 Ngày'!M57</f>
        <v/>
      </c>
      <c r="G73" s="5">
        <f>IF(COUNTIF('📋 Báo Cáo 49 Ngày'!H57:N57, "&lt;&gt;")&gt;0, "🖼️ Có kèm ảnh", "—")</f>
        <v/>
      </c>
      <c r="H73" s="7">
        <f>'📋 Báo Cáo 49 Ngày'!O57</f>
        <v/>
      </c>
      <c r="I73" s="7">
        <f>'📋 Báo Cáo 49 Ngày'!P57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Ngày'!G58</f>
        <v/>
      </c>
      <c r="D74" s="18">
        <f>'📋 Báo Cáo 49 Ngày'!I58</f>
        <v/>
      </c>
      <c r="E74" s="18">
        <f>'📋 Báo Cáo 49 Ngày'!K58</f>
        <v/>
      </c>
      <c r="F74" s="18">
        <f>'📋 Báo Cáo 49 Ngày'!M58</f>
        <v/>
      </c>
      <c r="G74" s="5">
        <f>IF(COUNTIF('📋 Báo Cáo 49 Ngày'!H58:N58, "&lt;&gt;")&gt;0, "🖼️ Có kèm ảnh", "—")</f>
        <v/>
      </c>
      <c r="H74" s="7">
        <f>'📋 Báo Cáo 49 Ngày'!O58</f>
        <v/>
      </c>
      <c r="I74" s="7">
        <f>'📋 Báo Cáo 49 Ngày'!P58</f>
        <v/>
      </c>
      <c r="J74" s="18" t="inlineStr"/>
    </row>
    <row r="76">
      <c r="A76" s="20" t="inlineStr">
        <is>
          <t>📍 THỨ 2 (14/09/2026) - NGÀY 07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Ngày'!G59</f>
        <v/>
      </c>
      <c r="D78" s="18">
        <f>'📋 Báo Cáo 49 Ngày'!I59</f>
        <v/>
      </c>
      <c r="E78" s="18">
        <f>'📋 Báo Cáo 49 Ngày'!K59</f>
        <v/>
      </c>
      <c r="F78" s="18">
        <f>'📋 Báo Cáo 49 Ngày'!M59</f>
        <v/>
      </c>
      <c r="G78" s="5">
        <f>IF(COUNTIF('📋 Báo Cáo 49 Ngày'!H59:N59, "&lt;&gt;")&gt;0, "🖼️ Có kèm ảnh", "—")</f>
        <v/>
      </c>
      <c r="H78" s="7">
        <f>'📋 Báo Cáo 49 Ngày'!O59</f>
        <v/>
      </c>
      <c r="I78" s="7">
        <f>'📋 Báo Cáo 49 Ngày'!P59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Ngày'!G60</f>
        <v/>
      </c>
      <c r="D79" s="18">
        <f>'📋 Báo Cáo 49 Ngày'!I60</f>
        <v/>
      </c>
      <c r="E79" s="18">
        <f>'📋 Báo Cáo 49 Ngày'!K60</f>
        <v/>
      </c>
      <c r="F79" s="18">
        <f>'📋 Báo Cáo 49 Ngày'!M60</f>
        <v/>
      </c>
      <c r="G79" s="5">
        <f>IF(COUNTIF('📋 Báo Cáo 49 Ngày'!H60:N60, "&lt;&gt;")&gt;0, "🖼️ Có kèm ảnh", "—")</f>
        <v/>
      </c>
      <c r="H79" s="7">
        <f>'📋 Báo Cáo 49 Ngày'!O60</f>
        <v/>
      </c>
      <c r="I79" s="7">
        <f>'📋 Báo Cáo 49 Ngày'!P60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Ngày'!G61</f>
        <v/>
      </c>
      <c r="D80" s="18">
        <f>'📋 Báo Cáo 49 Ngày'!I61</f>
        <v/>
      </c>
      <c r="E80" s="18">
        <f>'📋 Báo Cáo 49 Ngày'!K61</f>
        <v/>
      </c>
      <c r="F80" s="18">
        <f>'📋 Báo Cáo 49 Ngày'!M61</f>
        <v/>
      </c>
      <c r="G80" s="5">
        <f>IF(COUNTIF('📋 Báo Cáo 49 Ngày'!H61:N61, "&lt;&gt;")&gt;0, "🖼️ Có kèm ảnh", "—")</f>
        <v/>
      </c>
      <c r="H80" s="7">
        <f>'📋 Báo Cáo 49 Ngày'!O61</f>
        <v/>
      </c>
      <c r="I80" s="7">
        <f>'📋 Báo Cáo 49 Ngày'!P61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Ngày'!G62</f>
        <v/>
      </c>
      <c r="D81" s="18">
        <f>'📋 Báo Cáo 49 Ngày'!I62</f>
        <v/>
      </c>
      <c r="E81" s="18">
        <f>'📋 Báo Cáo 49 Ngày'!K62</f>
        <v/>
      </c>
      <c r="F81" s="18">
        <f>'📋 Báo Cáo 49 Ngày'!M62</f>
        <v/>
      </c>
      <c r="G81" s="5">
        <f>IF(COUNTIF('📋 Báo Cáo 49 Ngày'!H62:N62, "&lt;&gt;")&gt;0, "🖼️ Có kèm ảnh", "—")</f>
        <v/>
      </c>
      <c r="H81" s="7">
        <f>'📋 Báo Cáo 49 Ngày'!O62</f>
        <v/>
      </c>
      <c r="I81" s="7">
        <f>'📋 Báo Cáo 49 Ngày'!P62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Ngày'!G63</f>
        <v/>
      </c>
      <c r="D82" s="18">
        <f>'📋 Báo Cáo 49 Ngày'!I63</f>
        <v/>
      </c>
      <c r="E82" s="18">
        <f>'📋 Báo Cáo 49 Ngày'!K63</f>
        <v/>
      </c>
      <c r="F82" s="18">
        <f>'📋 Báo Cáo 49 Ngày'!M63</f>
        <v/>
      </c>
      <c r="G82" s="5">
        <f>IF(COUNTIF('📋 Báo Cáo 49 Ngày'!H63:N63, "&lt;&gt;")&gt;0, "🖼️ Có kèm ảnh", "—")</f>
        <v/>
      </c>
      <c r="H82" s="7">
        <f>'📋 Báo Cáo 49 Ngày'!O63</f>
        <v/>
      </c>
      <c r="I82" s="7">
        <f>'📋 Báo Cáo 49 Ngày'!P63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Ngày'!G64</f>
        <v/>
      </c>
      <c r="D83" s="18">
        <f>'📋 Báo Cáo 49 Ngày'!I64</f>
        <v/>
      </c>
      <c r="E83" s="18">
        <f>'📋 Báo Cáo 49 Ngày'!K64</f>
        <v/>
      </c>
      <c r="F83" s="18">
        <f>'📋 Báo Cáo 49 Ngày'!M64</f>
        <v/>
      </c>
      <c r="G83" s="5">
        <f>IF(COUNTIF('📋 Báo Cáo 49 Ngày'!H64:N64, "&lt;&gt;")&gt;0, "🖼️ Có kèm ảnh", "—")</f>
        <v/>
      </c>
      <c r="H83" s="7">
        <f>'📋 Báo Cáo 49 Ngày'!O64</f>
        <v/>
      </c>
      <c r="I83" s="7">
        <f>'📋 Báo Cáo 49 Ngày'!P64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Ngày'!G65</f>
        <v/>
      </c>
      <c r="D84" s="18">
        <f>'📋 Báo Cáo 49 Ngày'!I65</f>
        <v/>
      </c>
      <c r="E84" s="18">
        <f>'📋 Báo Cáo 49 Ngày'!K65</f>
        <v/>
      </c>
      <c r="F84" s="18">
        <f>'📋 Báo Cáo 49 Ngày'!M65</f>
        <v/>
      </c>
      <c r="G84" s="5">
        <f>IF(COUNTIF('📋 Báo Cáo 49 Ngày'!H65:N65, "&lt;&gt;")&gt;0, "🖼️ Có kèm ảnh", "—")</f>
        <v/>
      </c>
      <c r="H84" s="7">
        <f>'📋 Báo Cáo 49 Ngày'!O65</f>
        <v/>
      </c>
      <c r="I84" s="7">
        <f>'📋 Báo Cáo 49 Ngày'!P65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Ngày'!G66</f>
        <v/>
      </c>
      <c r="D85" s="18">
        <f>'📋 Báo Cáo 49 Ngày'!I66</f>
        <v/>
      </c>
      <c r="E85" s="18">
        <f>'📋 Báo Cáo 49 Ngày'!K66</f>
        <v/>
      </c>
      <c r="F85" s="18">
        <f>'📋 Báo Cáo 49 Ngày'!M66</f>
        <v/>
      </c>
      <c r="G85" s="5">
        <f>IF(COUNTIF('📋 Báo Cáo 49 Ngày'!H66:N66, "&lt;&gt;")&gt;0, "🖼️ Có kèm ảnh", "—")</f>
        <v/>
      </c>
      <c r="H85" s="7">
        <f>'📋 Báo Cáo 49 Ngày'!O66</f>
        <v/>
      </c>
      <c r="I85" s="7">
        <f>'📋 Báo Cáo 49 Ngày'!P66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Ngày'!G67</f>
        <v/>
      </c>
      <c r="D86" s="18">
        <f>'📋 Báo Cáo 49 Ngày'!I67</f>
        <v/>
      </c>
      <c r="E86" s="18">
        <f>'📋 Báo Cáo 49 Ngày'!K67</f>
        <v/>
      </c>
      <c r="F86" s="18">
        <f>'📋 Báo Cáo 49 Ngày'!M67</f>
        <v/>
      </c>
      <c r="G86" s="5">
        <f>IF(COUNTIF('📋 Báo Cáo 49 Ngày'!H67:N67, "&lt;&gt;")&gt;0, "🖼️ Có kèm ảnh", "—")</f>
        <v/>
      </c>
      <c r="H86" s="7">
        <f>'📋 Báo Cáo 49 Ngày'!O67</f>
        <v/>
      </c>
      <c r="I86" s="7">
        <f>'📋 Báo Cáo 49 Ngày'!P67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2 (15/09 - 21/09/2026) - BÁO CÁO 9 THÀNH VIÊN</t>
        </is>
      </c>
    </row>
    <row r="2"/>
    <row r="4">
      <c r="A4" s="20" t="inlineStr">
        <is>
          <t>📍 THỨ 3 (15/09/2026) - NGÀY 08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Ngày'!G68</f>
        <v/>
      </c>
      <c r="D6" s="18">
        <f>'📋 Báo Cáo 49 Ngày'!I68</f>
        <v/>
      </c>
      <c r="E6" s="18">
        <f>'📋 Báo Cáo 49 Ngày'!K68</f>
        <v/>
      </c>
      <c r="F6" s="18">
        <f>'📋 Báo Cáo 49 Ngày'!M68</f>
        <v/>
      </c>
      <c r="G6" s="5">
        <f>IF(COUNTIF('📋 Báo Cáo 49 Ngày'!H68:N68, "&lt;&gt;")&gt;0, "🖼️ Có kèm ảnh", "—")</f>
        <v/>
      </c>
      <c r="H6" s="7">
        <f>'📋 Báo Cáo 49 Ngày'!O68</f>
        <v/>
      </c>
      <c r="I6" s="7">
        <f>'📋 Báo Cáo 49 Ngày'!P68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Ngày'!G69</f>
        <v/>
      </c>
      <c r="D7" s="18">
        <f>'📋 Báo Cáo 49 Ngày'!I69</f>
        <v/>
      </c>
      <c r="E7" s="18">
        <f>'📋 Báo Cáo 49 Ngày'!K69</f>
        <v/>
      </c>
      <c r="F7" s="18">
        <f>'📋 Báo Cáo 49 Ngày'!M69</f>
        <v/>
      </c>
      <c r="G7" s="5">
        <f>IF(COUNTIF('📋 Báo Cáo 49 Ngày'!H69:N69, "&lt;&gt;")&gt;0, "🖼️ Có kèm ảnh", "—")</f>
        <v/>
      </c>
      <c r="H7" s="7">
        <f>'📋 Báo Cáo 49 Ngày'!O69</f>
        <v/>
      </c>
      <c r="I7" s="7">
        <f>'📋 Báo Cáo 49 Ngày'!P69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Ngày'!G70</f>
        <v/>
      </c>
      <c r="D8" s="18">
        <f>'📋 Báo Cáo 49 Ngày'!I70</f>
        <v/>
      </c>
      <c r="E8" s="18">
        <f>'📋 Báo Cáo 49 Ngày'!K70</f>
        <v/>
      </c>
      <c r="F8" s="18">
        <f>'📋 Báo Cáo 49 Ngày'!M70</f>
        <v/>
      </c>
      <c r="G8" s="5">
        <f>IF(COUNTIF('📋 Báo Cáo 49 Ngày'!H70:N70, "&lt;&gt;")&gt;0, "🖼️ Có kèm ảnh", "—")</f>
        <v/>
      </c>
      <c r="H8" s="7">
        <f>'📋 Báo Cáo 49 Ngày'!O70</f>
        <v/>
      </c>
      <c r="I8" s="7">
        <f>'📋 Báo Cáo 49 Ngày'!P70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Ngày'!G71</f>
        <v/>
      </c>
      <c r="D9" s="18">
        <f>'📋 Báo Cáo 49 Ngày'!I71</f>
        <v/>
      </c>
      <c r="E9" s="18">
        <f>'📋 Báo Cáo 49 Ngày'!K71</f>
        <v/>
      </c>
      <c r="F9" s="18">
        <f>'📋 Báo Cáo 49 Ngày'!M71</f>
        <v/>
      </c>
      <c r="G9" s="5">
        <f>IF(COUNTIF('📋 Báo Cáo 49 Ngày'!H71:N71, "&lt;&gt;")&gt;0, "🖼️ Có kèm ảnh", "—")</f>
        <v/>
      </c>
      <c r="H9" s="7">
        <f>'📋 Báo Cáo 49 Ngày'!O71</f>
        <v/>
      </c>
      <c r="I9" s="7">
        <f>'📋 Báo Cáo 49 Ngày'!P71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Ngày'!G72</f>
        <v/>
      </c>
      <c r="D10" s="18">
        <f>'📋 Báo Cáo 49 Ngày'!I72</f>
        <v/>
      </c>
      <c r="E10" s="18">
        <f>'📋 Báo Cáo 49 Ngày'!K72</f>
        <v/>
      </c>
      <c r="F10" s="18">
        <f>'📋 Báo Cáo 49 Ngày'!M72</f>
        <v/>
      </c>
      <c r="G10" s="5">
        <f>IF(COUNTIF('📋 Báo Cáo 49 Ngày'!H72:N72, "&lt;&gt;")&gt;0, "🖼️ Có kèm ảnh", "—")</f>
        <v/>
      </c>
      <c r="H10" s="7">
        <f>'📋 Báo Cáo 49 Ngày'!O72</f>
        <v/>
      </c>
      <c r="I10" s="7">
        <f>'📋 Báo Cáo 49 Ngày'!P72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Ngày'!G73</f>
        <v/>
      </c>
      <c r="D11" s="18">
        <f>'📋 Báo Cáo 49 Ngày'!I73</f>
        <v/>
      </c>
      <c r="E11" s="18">
        <f>'📋 Báo Cáo 49 Ngày'!K73</f>
        <v/>
      </c>
      <c r="F11" s="18">
        <f>'📋 Báo Cáo 49 Ngày'!M73</f>
        <v/>
      </c>
      <c r="G11" s="5">
        <f>IF(COUNTIF('📋 Báo Cáo 49 Ngày'!H73:N73, "&lt;&gt;")&gt;0, "🖼️ Có kèm ảnh", "—")</f>
        <v/>
      </c>
      <c r="H11" s="7">
        <f>'📋 Báo Cáo 49 Ngày'!O73</f>
        <v/>
      </c>
      <c r="I11" s="7">
        <f>'📋 Báo Cáo 49 Ngày'!P73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Ngày'!G74</f>
        <v/>
      </c>
      <c r="D12" s="18">
        <f>'📋 Báo Cáo 49 Ngày'!I74</f>
        <v/>
      </c>
      <c r="E12" s="18">
        <f>'📋 Báo Cáo 49 Ngày'!K74</f>
        <v/>
      </c>
      <c r="F12" s="18">
        <f>'📋 Báo Cáo 49 Ngày'!M74</f>
        <v/>
      </c>
      <c r="G12" s="5">
        <f>IF(COUNTIF('📋 Báo Cáo 49 Ngày'!H74:N74, "&lt;&gt;")&gt;0, "🖼️ Có kèm ảnh", "—")</f>
        <v/>
      </c>
      <c r="H12" s="7">
        <f>'📋 Báo Cáo 49 Ngày'!O74</f>
        <v/>
      </c>
      <c r="I12" s="7">
        <f>'📋 Báo Cáo 49 Ngày'!P74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Ngày'!G75</f>
        <v/>
      </c>
      <c r="D13" s="18">
        <f>'📋 Báo Cáo 49 Ngày'!I75</f>
        <v/>
      </c>
      <c r="E13" s="18">
        <f>'📋 Báo Cáo 49 Ngày'!K75</f>
        <v/>
      </c>
      <c r="F13" s="18">
        <f>'📋 Báo Cáo 49 Ngày'!M75</f>
        <v/>
      </c>
      <c r="G13" s="5">
        <f>IF(COUNTIF('📋 Báo Cáo 49 Ngày'!H75:N75, "&lt;&gt;")&gt;0, "🖼️ Có kèm ảnh", "—")</f>
        <v/>
      </c>
      <c r="H13" s="7">
        <f>'📋 Báo Cáo 49 Ngày'!O75</f>
        <v/>
      </c>
      <c r="I13" s="7">
        <f>'📋 Báo Cáo 49 Ngày'!P75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Ngày'!G76</f>
        <v/>
      </c>
      <c r="D14" s="18">
        <f>'📋 Báo Cáo 49 Ngày'!I76</f>
        <v/>
      </c>
      <c r="E14" s="18">
        <f>'📋 Báo Cáo 49 Ngày'!K76</f>
        <v/>
      </c>
      <c r="F14" s="18">
        <f>'📋 Báo Cáo 49 Ngày'!M76</f>
        <v/>
      </c>
      <c r="G14" s="5">
        <f>IF(COUNTIF('📋 Báo Cáo 49 Ngày'!H76:N76, "&lt;&gt;")&gt;0, "🖼️ Có kèm ảnh", "—")</f>
        <v/>
      </c>
      <c r="H14" s="7">
        <f>'📋 Báo Cáo 49 Ngày'!O76</f>
        <v/>
      </c>
      <c r="I14" s="7">
        <f>'📋 Báo Cáo 49 Ngày'!P76</f>
        <v/>
      </c>
      <c r="J14" s="18" t="inlineStr"/>
    </row>
    <row r="16">
      <c r="A16" s="20" t="inlineStr">
        <is>
          <t>📍 THỨ 4 (16/09/2026) - NGÀY 09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Ngày'!G77</f>
        <v/>
      </c>
      <c r="D18" s="18">
        <f>'📋 Báo Cáo 49 Ngày'!I77</f>
        <v/>
      </c>
      <c r="E18" s="18">
        <f>'📋 Báo Cáo 49 Ngày'!K77</f>
        <v/>
      </c>
      <c r="F18" s="18">
        <f>'📋 Báo Cáo 49 Ngày'!M77</f>
        <v/>
      </c>
      <c r="G18" s="5">
        <f>IF(COUNTIF('📋 Báo Cáo 49 Ngày'!H77:N77, "&lt;&gt;")&gt;0, "🖼️ Có kèm ảnh", "—")</f>
        <v/>
      </c>
      <c r="H18" s="7">
        <f>'📋 Báo Cáo 49 Ngày'!O77</f>
        <v/>
      </c>
      <c r="I18" s="7">
        <f>'📋 Báo Cáo 49 Ngày'!P77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Ngày'!G78</f>
        <v/>
      </c>
      <c r="D19" s="18">
        <f>'📋 Báo Cáo 49 Ngày'!I78</f>
        <v/>
      </c>
      <c r="E19" s="18">
        <f>'📋 Báo Cáo 49 Ngày'!K78</f>
        <v/>
      </c>
      <c r="F19" s="18">
        <f>'📋 Báo Cáo 49 Ngày'!M78</f>
        <v/>
      </c>
      <c r="G19" s="5">
        <f>IF(COUNTIF('📋 Báo Cáo 49 Ngày'!H78:N78, "&lt;&gt;")&gt;0, "🖼️ Có kèm ảnh", "—")</f>
        <v/>
      </c>
      <c r="H19" s="7">
        <f>'📋 Báo Cáo 49 Ngày'!O78</f>
        <v/>
      </c>
      <c r="I19" s="7">
        <f>'📋 Báo Cáo 49 Ngày'!P78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Ngày'!G79</f>
        <v/>
      </c>
      <c r="D20" s="18">
        <f>'📋 Báo Cáo 49 Ngày'!I79</f>
        <v/>
      </c>
      <c r="E20" s="18">
        <f>'📋 Báo Cáo 49 Ngày'!K79</f>
        <v/>
      </c>
      <c r="F20" s="18">
        <f>'📋 Báo Cáo 49 Ngày'!M79</f>
        <v/>
      </c>
      <c r="G20" s="5">
        <f>IF(COUNTIF('📋 Báo Cáo 49 Ngày'!H79:N79, "&lt;&gt;")&gt;0, "🖼️ Có kèm ảnh", "—")</f>
        <v/>
      </c>
      <c r="H20" s="7">
        <f>'📋 Báo Cáo 49 Ngày'!O79</f>
        <v/>
      </c>
      <c r="I20" s="7">
        <f>'📋 Báo Cáo 49 Ngày'!P79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Ngày'!G80</f>
        <v/>
      </c>
      <c r="D21" s="18">
        <f>'📋 Báo Cáo 49 Ngày'!I80</f>
        <v/>
      </c>
      <c r="E21" s="18">
        <f>'📋 Báo Cáo 49 Ngày'!K80</f>
        <v/>
      </c>
      <c r="F21" s="18">
        <f>'📋 Báo Cáo 49 Ngày'!M80</f>
        <v/>
      </c>
      <c r="G21" s="5">
        <f>IF(COUNTIF('📋 Báo Cáo 49 Ngày'!H80:N80, "&lt;&gt;")&gt;0, "🖼️ Có kèm ảnh", "—")</f>
        <v/>
      </c>
      <c r="H21" s="7">
        <f>'📋 Báo Cáo 49 Ngày'!O80</f>
        <v/>
      </c>
      <c r="I21" s="7">
        <f>'📋 Báo Cáo 49 Ngày'!P80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Ngày'!G81</f>
        <v/>
      </c>
      <c r="D22" s="18">
        <f>'📋 Báo Cáo 49 Ngày'!I81</f>
        <v/>
      </c>
      <c r="E22" s="18">
        <f>'📋 Báo Cáo 49 Ngày'!K81</f>
        <v/>
      </c>
      <c r="F22" s="18">
        <f>'📋 Báo Cáo 49 Ngày'!M81</f>
        <v/>
      </c>
      <c r="G22" s="5">
        <f>IF(COUNTIF('📋 Báo Cáo 49 Ngày'!H81:N81, "&lt;&gt;")&gt;0, "🖼️ Có kèm ảnh", "—")</f>
        <v/>
      </c>
      <c r="H22" s="7">
        <f>'📋 Báo Cáo 49 Ngày'!O81</f>
        <v/>
      </c>
      <c r="I22" s="7">
        <f>'📋 Báo Cáo 49 Ngày'!P81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Ngày'!G82</f>
        <v/>
      </c>
      <c r="D23" s="18">
        <f>'📋 Báo Cáo 49 Ngày'!I82</f>
        <v/>
      </c>
      <c r="E23" s="18">
        <f>'📋 Báo Cáo 49 Ngày'!K82</f>
        <v/>
      </c>
      <c r="F23" s="18">
        <f>'📋 Báo Cáo 49 Ngày'!M82</f>
        <v/>
      </c>
      <c r="G23" s="5">
        <f>IF(COUNTIF('📋 Báo Cáo 49 Ngày'!H82:N82, "&lt;&gt;")&gt;0, "🖼️ Có kèm ảnh", "—")</f>
        <v/>
      </c>
      <c r="H23" s="7">
        <f>'📋 Báo Cáo 49 Ngày'!O82</f>
        <v/>
      </c>
      <c r="I23" s="7">
        <f>'📋 Báo Cáo 49 Ngày'!P82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Ngày'!G83</f>
        <v/>
      </c>
      <c r="D24" s="18">
        <f>'📋 Báo Cáo 49 Ngày'!I83</f>
        <v/>
      </c>
      <c r="E24" s="18">
        <f>'📋 Báo Cáo 49 Ngày'!K83</f>
        <v/>
      </c>
      <c r="F24" s="18">
        <f>'📋 Báo Cáo 49 Ngày'!M83</f>
        <v/>
      </c>
      <c r="G24" s="5">
        <f>IF(COUNTIF('📋 Báo Cáo 49 Ngày'!H83:N83, "&lt;&gt;")&gt;0, "🖼️ Có kèm ảnh", "—")</f>
        <v/>
      </c>
      <c r="H24" s="7">
        <f>'📋 Báo Cáo 49 Ngày'!O83</f>
        <v/>
      </c>
      <c r="I24" s="7">
        <f>'📋 Báo Cáo 49 Ngày'!P83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Ngày'!G84</f>
        <v/>
      </c>
      <c r="D25" s="18">
        <f>'📋 Báo Cáo 49 Ngày'!I84</f>
        <v/>
      </c>
      <c r="E25" s="18">
        <f>'📋 Báo Cáo 49 Ngày'!K84</f>
        <v/>
      </c>
      <c r="F25" s="18">
        <f>'📋 Báo Cáo 49 Ngày'!M84</f>
        <v/>
      </c>
      <c r="G25" s="5">
        <f>IF(COUNTIF('📋 Báo Cáo 49 Ngày'!H84:N84, "&lt;&gt;")&gt;0, "🖼️ Có kèm ảnh", "—")</f>
        <v/>
      </c>
      <c r="H25" s="7">
        <f>'📋 Báo Cáo 49 Ngày'!O84</f>
        <v/>
      </c>
      <c r="I25" s="7">
        <f>'📋 Báo Cáo 49 Ngày'!P84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Ngày'!G85</f>
        <v/>
      </c>
      <c r="D26" s="18">
        <f>'📋 Báo Cáo 49 Ngày'!I85</f>
        <v/>
      </c>
      <c r="E26" s="18">
        <f>'📋 Báo Cáo 49 Ngày'!K85</f>
        <v/>
      </c>
      <c r="F26" s="18">
        <f>'📋 Báo Cáo 49 Ngày'!M85</f>
        <v/>
      </c>
      <c r="G26" s="5">
        <f>IF(COUNTIF('📋 Báo Cáo 49 Ngày'!H85:N85, "&lt;&gt;")&gt;0, "🖼️ Có kèm ảnh", "—")</f>
        <v/>
      </c>
      <c r="H26" s="7">
        <f>'📋 Báo Cáo 49 Ngày'!O85</f>
        <v/>
      </c>
      <c r="I26" s="7">
        <f>'📋 Báo Cáo 49 Ngày'!P85</f>
        <v/>
      </c>
      <c r="J26" s="18" t="inlineStr"/>
    </row>
    <row r="28">
      <c r="A28" s="20" t="inlineStr">
        <is>
          <t>📍 THỨ 5 (17/09/2026) - NGÀY 10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Ngày'!G86</f>
        <v/>
      </c>
      <c r="D30" s="18">
        <f>'📋 Báo Cáo 49 Ngày'!I86</f>
        <v/>
      </c>
      <c r="E30" s="18">
        <f>'📋 Báo Cáo 49 Ngày'!K86</f>
        <v/>
      </c>
      <c r="F30" s="18">
        <f>'📋 Báo Cáo 49 Ngày'!M86</f>
        <v/>
      </c>
      <c r="G30" s="5">
        <f>IF(COUNTIF('📋 Báo Cáo 49 Ngày'!H86:N86, "&lt;&gt;")&gt;0, "🖼️ Có kèm ảnh", "—")</f>
        <v/>
      </c>
      <c r="H30" s="7">
        <f>'📋 Báo Cáo 49 Ngày'!O86</f>
        <v/>
      </c>
      <c r="I30" s="7">
        <f>'📋 Báo Cáo 49 Ngày'!P86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Ngày'!G87</f>
        <v/>
      </c>
      <c r="D31" s="18">
        <f>'📋 Báo Cáo 49 Ngày'!I87</f>
        <v/>
      </c>
      <c r="E31" s="18">
        <f>'📋 Báo Cáo 49 Ngày'!K87</f>
        <v/>
      </c>
      <c r="F31" s="18">
        <f>'📋 Báo Cáo 49 Ngày'!M87</f>
        <v/>
      </c>
      <c r="G31" s="5">
        <f>IF(COUNTIF('📋 Báo Cáo 49 Ngày'!H87:N87, "&lt;&gt;")&gt;0, "🖼️ Có kèm ảnh", "—")</f>
        <v/>
      </c>
      <c r="H31" s="7">
        <f>'📋 Báo Cáo 49 Ngày'!O87</f>
        <v/>
      </c>
      <c r="I31" s="7">
        <f>'📋 Báo Cáo 49 Ngày'!P87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Ngày'!G88</f>
        <v/>
      </c>
      <c r="D32" s="18">
        <f>'📋 Báo Cáo 49 Ngày'!I88</f>
        <v/>
      </c>
      <c r="E32" s="18">
        <f>'📋 Báo Cáo 49 Ngày'!K88</f>
        <v/>
      </c>
      <c r="F32" s="18">
        <f>'📋 Báo Cáo 49 Ngày'!M88</f>
        <v/>
      </c>
      <c r="G32" s="5">
        <f>IF(COUNTIF('📋 Báo Cáo 49 Ngày'!H88:N88, "&lt;&gt;")&gt;0, "🖼️ Có kèm ảnh", "—")</f>
        <v/>
      </c>
      <c r="H32" s="7">
        <f>'📋 Báo Cáo 49 Ngày'!O88</f>
        <v/>
      </c>
      <c r="I32" s="7">
        <f>'📋 Báo Cáo 49 Ngày'!P88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Ngày'!G89</f>
        <v/>
      </c>
      <c r="D33" s="18">
        <f>'📋 Báo Cáo 49 Ngày'!I89</f>
        <v/>
      </c>
      <c r="E33" s="18">
        <f>'📋 Báo Cáo 49 Ngày'!K89</f>
        <v/>
      </c>
      <c r="F33" s="18">
        <f>'📋 Báo Cáo 49 Ngày'!M89</f>
        <v/>
      </c>
      <c r="G33" s="5">
        <f>IF(COUNTIF('📋 Báo Cáo 49 Ngày'!H89:N89, "&lt;&gt;")&gt;0, "🖼️ Có kèm ảnh", "—")</f>
        <v/>
      </c>
      <c r="H33" s="7">
        <f>'📋 Báo Cáo 49 Ngày'!O89</f>
        <v/>
      </c>
      <c r="I33" s="7">
        <f>'📋 Báo Cáo 49 Ngày'!P89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Ngày'!G90</f>
        <v/>
      </c>
      <c r="D34" s="18">
        <f>'📋 Báo Cáo 49 Ngày'!I90</f>
        <v/>
      </c>
      <c r="E34" s="18">
        <f>'📋 Báo Cáo 49 Ngày'!K90</f>
        <v/>
      </c>
      <c r="F34" s="18">
        <f>'📋 Báo Cáo 49 Ngày'!M90</f>
        <v/>
      </c>
      <c r="G34" s="5">
        <f>IF(COUNTIF('📋 Báo Cáo 49 Ngày'!H90:N90, "&lt;&gt;")&gt;0, "🖼️ Có kèm ảnh", "—")</f>
        <v/>
      </c>
      <c r="H34" s="7">
        <f>'📋 Báo Cáo 49 Ngày'!O90</f>
        <v/>
      </c>
      <c r="I34" s="7">
        <f>'📋 Báo Cáo 49 Ngày'!P90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Ngày'!G91</f>
        <v/>
      </c>
      <c r="D35" s="18">
        <f>'📋 Báo Cáo 49 Ngày'!I91</f>
        <v/>
      </c>
      <c r="E35" s="18">
        <f>'📋 Báo Cáo 49 Ngày'!K91</f>
        <v/>
      </c>
      <c r="F35" s="18">
        <f>'📋 Báo Cáo 49 Ngày'!M91</f>
        <v/>
      </c>
      <c r="G35" s="5">
        <f>IF(COUNTIF('📋 Báo Cáo 49 Ngày'!H91:N91, "&lt;&gt;")&gt;0, "🖼️ Có kèm ảnh", "—")</f>
        <v/>
      </c>
      <c r="H35" s="7">
        <f>'📋 Báo Cáo 49 Ngày'!O91</f>
        <v/>
      </c>
      <c r="I35" s="7">
        <f>'📋 Báo Cáo 49 Ngày'!P91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Ngày'!G92</f>
        <v/>
      </c>
      <c r="D36" s="18">
        <f>'📋 Báo Cáo 49 Ngày'!I92</f>
        <v/>
      </c>
      <c r="E36" s="18">
        <f>'📋 Báo Cáo 49 Ngày'!K92</f>
        <v/>
      </c>
      <c r="F36" s="18">
        <f>'📋 Báo Cáo 49 Ngày'!M92</f>
        <v/>
      </c>
      <c r="G36" s="5">
        <f>IF(COUNTIF('📋 Báo Cáo 49 Ngày'!H92:N92, "&lt;&gt;")&gt;0, "🖼️ Có kèm ảnh", "—")</f>
        <v/>
      </c>
      <c r="H36" s="7">
        <f>'📋 Báo Cáo 49 Ngày'!O92</f>
        <v/>
      </c>
      <c r="I36" s="7">
        <f>'📋 Báo Cáo 49 Ngày'!P92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Ngày'!G93</f>
        <v/>
      </c>
      <c r="D37" s="18">
        <f>'📋 Báo Cáo 49 Ngày'!I93</f>
        <v/>
      </c>
      <c r="E37" s="18">
        <f>'📋 Báo Cáo 49 Ngày'!K93</f>
        <v/>
      </c>
      <c r="F37" s="18">
        <f>'📋 Báo Cáo 49 Ngày'!M93</f>
        <v/>
      </c>
      <c r="G37" s="5">
        <f>IF(COUNTIF('📋 Báo Cáo 49 Ngày'!H93:N93, "&lt;&gt;")&gt;0, "🖼️ Có kèm ảnh", "—")</f>
        <v/>
      </c>
      <c r="H37" s="7">
        <f>'📋 Báo Cáo 49 Ngày'!O93</f>
        <v/>
      </c>
      <c r="I37" s="7">
        <f>'📋 Báo Cáo 49 Ngày'!P93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Ngày'!G94</f>
        <v/>
      </c>
      <c r="D38" s="18">
        <f>'📋 Báo Cáo 49 Ngày'!I94</f>
        <v/>
      </c>
      <c r="E38" s="18">
        <f>'📋 Báo Cáo 49 Ngày'!K94</f>
        <v/>
      </c>
      <c r="F38" s="18">
        <f>'📋 Báo Cáo 49 Ngày'!M94</f>
        <v/>
      </c>
      <c r="G38" s="5">
        <f>IF(COUNTIF('📋 Báo Cáo 49 Ngày'!H94:N94, "&lt;&gt;")&gt;0, "🖼️ Có kèm ảnh", "—")</f>
        <v/>
      </c>
      <c r="H38" s="7">
        <f>'📋 Báo Cáo 49 Ngày'!O94</f>
        <v/>
      </c>
      <c r="I38" s="7">
        <f>'📋 Báo Cáo 49 Ngày'!P94</f>
        <v/>
      </c>
      <c r="J38" s="18" t="inlineStr"/>
    </row>
    <row r="40">
      <c r="A40" s="20" t="inlineStr">
        <is>
          <t>📍 THỨ 6 (18/09/2026) - NGÀY 11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Ngày'!G95</f>
        <v/>
      </c>
      <c r="D42" s="18">
        <f>'📋 Báo Cáo 49 Ngày'!I95</f>
        <v/>
      </c>
      <c r="E42" s="18">
        <f>'📋 Báo Cáo 49 Ngày'!K95</f>
        <v/>
      </c>
      <c r="F42" s="18">
        <f>'📋 Báo Cáo 49 Ngày'!M95</f>
        <v/>
      </c>
      <c r="G42" s="5">
        <f>IF(COUNTIF('📋 Báo Cáo 49 Ngày'!H95:N95, "&lt;&gt;")&gt;0, "🖼️ Có kèm ảnh", "—")</f>
        <v/>
      </c>
      <c r="H42" s="7">
        <f>'📋 Báo Cáo 49 Ngày'!O95</f>
        <v/>
      </c>
      <c r="I42" s="7">
        <f>'📋 Báo Cáo 49 Ngày'!P95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Ngày'!G96</f>
        <v/>
      </c>
      <c r="D43" s="18">
        <f>'📋 Báo Cáo 49 Ngày'!I96</f>
        <v/>
      </c>
      <c r="E43" s="18">
        <f>'📋 Báo Cáo 49 Ngày'!K96</f>
        <v/>
      </c>
      <c r="F43" s="18">
        <f>'📋 Báo Cáo 49 Ngày'!M96</f>
        <v/>
      </c>
      <c r="G43" s="5">
        <f>IF(COUNTIF('📋 Báo Cáo 49 Ngày'!H96:N96, "&lt;&gt;")&gt;0, "🖼️ Có kèm ảnh", "—")</f>
        <v/>
      </c>
      <c r="H43" s="7">
        <f>'📋 Báo Cáo 49 Ngày'!O96</f>
        <v/>
      </c>
      <c r="I43" s="7">
        <f>'📋 Báo Cáo 49 Ngày'!P96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Ngày'!G97</f>
        <v/>
      </c>
      <c r="D44" s="18">
        <f>'📋 Báo Cáo 49 Ngày'!I97</f>
        <v/>
      </c>
      <c r="E44" s="18">
        <f>'📋 Báo Cáo 49 Ngày'!K97</f>
        <v/>
      </c>
      <c r="F44" s="18">
        <f>'📋 Báo Cáo 49 Ngày'!M97</f>
        <v/>
      </c>
      <c r="G44" s="5">
        <f>IF(COUNTIF('📋 Báo Cáo 49 Ngày'!H97:N97, "&lt;&gt;")&gt;0, "🖼️ Có kèm ảnh", "—")</f>
        <v/>
      </c>
      <c r="H44" s="7">
        <f>'📋 Báo Cáo 49 Ngày'!O97</f>
        <v/>
      </c>
      <c r="I44" s="7">
        <f>'📋 Báo Cáo 49 Ngày'!P97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Ngày'!G98</f>
        <v/>
      </c>
      <c r="D45" s="18">
        <f>'📋 Báo Cáo 49 Ngày'!I98</f>
        <v/>
      </c>
      <c r="E45" s="18">
        <f>'📋 Báo Cáo 49 Ngày'!K98</f>
        <v/>
      </c>
      <c r="F45" s="18">
        <f>'📋 Báo Cáo 49 Ngày'!M98</f>
        <v/>
      </c>
      <c r="G45" s="5">
        <f>IF(COUNTIF('📋 Báo Cáo 49 Ngày'!H98:N98, "&lt;&gt;")&gt;0, "🖼️ Có kèm ảnh", "—")</f>
        <v/>
      </c>
      <c r="H45" s="7">
        <f>'📋 Báo Cáo 49 Ngày'!O98</f>
        <v/>
      </c>
      <c r="I45" s="7">
        <f>'📋 Báo Cáo 49 Ngày'!P98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Ngày'!G99</f>
        <v/>
      </c>
      <c r="D46" s="18">
        <f>'📋 Báo Cáo 49 Ngày'!I99</f>
        <v/>
      </c>
      <c r="E46" s="18">
        <f>'📋 Báo Cáo 49 Ngày'!K99</f>
        <v/>
      </c>
      <c r="F46" s="18">
        <f>'📋 Báo Cáo 49 Ngày'!M99</f>
        <v/>
      </c>
      <c r="G46" s="5">
        <f>IF(COUNTIF('📋 Báo Cáo 49 Ngày'!H99:N99, "&lt;&gt;")&gt;0, "🖼️ Có kèm ảnh", "—")</f>
        <v/>
      </c>
      <c r="H46" s="7">
        <f>'📋 Báo Cáo 49 Ngày'!O99</f>
        <v/>
      </c>
      <c r="I46" s="7">
        <f>'📋 Báo Cáo 49 Ngày'!P99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Ngày'!G100</f>
        <v/>
      </c>
      <c r="D47" s="18">
        <f>'📋 Báo Cáo 49 Ngày'!I100</f>
        <v/>
      </c>
      <c r="E47" s="18">
        <f>'📋 Báo Cáo 49 Ngày'!K100</f>
        <v/>
      </c>
      <c r="F47" s="18">
        <f>'📋 Báo Cáo 49 Ngày'!M100</f>
        <v/>
      </c>
      <c r="G47" s="5">
        <f>IF(COUNTIF('📋 Báo Cáo 49 Ngày'!H100:N100, "&lt;&gt;")&gt;0, "🖼️ Có kèm ảnh", "—")</f>
        <v/>
      </c>
      <c r="H47" s="7">
        <f>'📋 Báo Cáo 49 Ngày'!O100</f>
        <v/>
      </c>
      <c r="I47" s="7">
        <f>'📋 Báo Cáo 49 Ngày'!P100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Ngày'!G101</f>
        <v/>
      </c>
      <c r="D48" s="18">
        <f>'📋 Báo Cáo 49 Ngày'!I101</f>
        <v/>
      </c>
      <c r="E48" s="18">
        <f>'📋 Báo Cáo 49 Ngày'!K101</f>
        <v/>
      </c>
      <c r="F48" s="18">
        <f>'📋 Báo Cáo 49 Ngày'!M101</f>
        <v/>
      </c>
      <c r="G48" s="5">
        <f>IF(COUNTIF('📋 Báo Cáo 49 Ngày'!H101:N101, "&lt;&gt;")&gt;0, "🖼️ Có kèm ảnh", "—")</f>
        <v/>
      </c>
      <c r="H48" s="7">
        <f>'📋 Báo Cáo 49 Ngày'!O101</f>
        <v/>
      </c>
      <c r="I48" s="7">
        <f>'📋 Báo Cáo 49 Ngày'!P101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Ngày'!G102</f>
        <v/>
      </c>
      <c r="D49" s="18">
        <f>'📋 Báo Cáo 49 Ngày'!I102</f>
        <v/>
      </c>
      <c r="E49" s="18">
        <f>'📋 Báo Cáo 49 Ngày'!K102</f>
        <v/>
      </c>
      <c r="F49" s="18">
        <f>'📋 Báo Cáo 49 Ngày'!M102</f>
        <v/>
      </c>
      <c r="G49" s="5">
        <f>IF(COUNTIF('📋 Báo Cáo 49 Ngày'!H102:N102, "&lt;&gt;")&gt;0, "🖼️ Có kèm ảnh", "—")</f>
        <v/>
      </c>
      <c r="H49" s="7">
        <f>'📋 Báo Cáo 49 Ngày'!O102</f>
        <v/>
      </c>
      <c r="I49" s="7">
        <f>'📋 Báo Cáo 49 Ngày'!P102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Ngày'!G103</f>
        <v/>
      </c>
      <c r="D50" s="18">
        <f>'📋 Báo Cáo 49 Ngày'!I103</f>
        <v/>
      </c>
      <c r="E50" s="18">
        <f>'📋 Báo Cáo 49 Ngày'!K103</f>
        <v/>
      </c>
      <c r="F50" s="18">
        <f>'📋 Báo Cáo 49 Ngày'!M103</f>
        <v/>
      </c>
      <c r="G50" s="5">
        <f>IF(COUNTIF('📋 Báo Cáo 49 Ngày'!H103:N103, "&lt;&gt;")&gt;0, "🖼️ Có kèm ảnh", "—")</f>
        <v/>
      </c>
      <c r="H50" s="7">
        <f>'📋 Báo Cáo 49 Ngày'!O103</f>
        <v/>
      </c>
      <c r="I50" s="7">
        <f>'📋 Báo Cáo 49 Ngày'!P103</f>
        <v/>
      </c>
      <c r="J50" s="18" t="inlineStr"/>
    </row>
    <row r="52">
      <c r="A52" s="20" t="inlineStr">
        <is>
          <t>📍 THỨ 7 (19/09/2026) - NGÀY 12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Ngày'!G104</f>
        <v/>
      </c>
      <c r="D54" s="18">
        <f>'📋 Báo Cáo 49 Ngày'!I104</f>
        <v/>
      </c>
      <c r="E54" s="18">
        <f>'📋 Báo Cáo 49 Ngày'!K104</f>
        <v/>
      </c>
      <c r="F54" s="18">
        <f>'📋 Báo Cáo 49 Ngày'!M104</f>
        <v/>
      </c>
      <c r="G54" s="5">
        <f>IF(COUNTIF('📋 Báo Cáo 49 Ngày'!H104:N104, "&lt;&gt;")&gt;0, "🖼️ Có kèm ảnh", "—")</f>
        <v/>
      </c>
      <c r="H54" s="7">
        <f>'📋 Báo Cáo 49 Ngày'!O104</f>
        <v/>
      </c>
      <c r="I54" s="7">
        <f>'📋 Báo Cáo 49 Ngày'!P104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Ngày'!G105</f>
        <v/>
      </c>
      <c r="D55" s="18">
        <f>'📋 Báo Cáo 49 Ngày'!I105</f>
        <v/>
      </c>
      <c r="E55" s="18">
        <f>'📋 Báo Cáo 49 Ngày'!K105</f>
        <v/>
      </c>
      <c r="F55" s="18">
        <f>'📋 Báo Cáo 49 Ngày'!M105</f>
        <v/>
      </c>
      <c r="G55" s="5">
        <f>IF(COUNTIF('📋 Báo Cáo 49 Ngày'!H105:N105, "&lt;&gt;")&gt;0, "🖼️ Có kèm ảnh", "—")</f>
        <v/>
      </c>
      <c r="H55" s="7">
        <f>'📋 Báo Cáo 49 Ngày'!O105</f>
        <v/>
      </c>
      <c r="I55" s="7">
        <f>'📋 Báo Cáo 49 Ngày'!P105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Ngày'!G106</f>
        <v/>
      </c>
      <c r="D56" s="18">
        <f>'📋 Báo Cáo 49 Ngày'!I106</f>
        <v/>
      </c>
      <c r="E56" s="18">
        <f>'📋 Báo Cáo 49 Ngày'!K106</f>
        <v/>
      </c>
      <c r="F56" s="18">
        <f>'📋 Báo Cáo 49 Ngày'!M106</f>
        <v/>
      </c>
      <c r="G56" s="5">
        <f>IF(COUNTIF('📋 Báo Cáo 49 Ngày'!H106:N106, "&lt;&gt;")&gt;0, "🖼️ Có kèm ảnh", "—")</f>
        <v/>
      </c>
      <c r="H56" s="7">
        <f>'📋 Báo Cáo 49 Ngày'!O106</f>
        <v/>
      </c>
      <c r="I56" s="7">
        <f>'📋 Báo Cáo 49 Ngày'!P106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Ngày'!G107</f>
        <v/>
      </c>
      <c r="D57" s="18">
        <f>'📋 Báo Cáo 49 Ngày'!I107</f>
        <v/>
      </c>
      <c r="E57" s="18">
        <f>'📋 Báo Cáo 49 Ngày'!K107</f>
        <v/>
      </c>
      <c r="F57" s="18">
        <f>'📋 Báo Cáo 49 Ngày'!M107</f>
        <v/>
      </c>
      <c r="G57" s="5">
        <f>IF(COUNTIF('📋 Báo Cáo 49 Ngày'!H107:N107, "&lt;&gt;")&gt;0, "🖼️ Có kèm ảnh", "—")</f>
        <v/>
      </c>
      <c r="H57" s="7">
        <f>'📋 Báo Cáo 49 Ngày'!O107</f>
        <v/>
      </c>
      <c r="I57" s="7">
        <f>'📋 Báo Cáo 49 Ngày'!P107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Ngày'!G108</f>
        <v/>
      </c>
      <c r="D58" s="18">
        <f>'📋 Báo Cáo 49 Ngày'!I108</f>
        <v/>
      </c>
      <c r="E58" s="18">
        <f>'📋 Báo Cáo 49 Ngày'!K108</f>
        <v/>
      </c>
      <c r="F58" s="18">
        <f>'📋 Báo Cáo 49 Ngày'!M108</f>
        <v/>
      </c>
      <c r="G58" s="5">
        <f>IF(COUNTIF('📋 Báo Cáo 49 Ngày'!H108:N108, "&lt;&gt;")&gt;0, "🖼️ Có kèm ảnh", "—")</f>
        <v/>
      </c>
      <c r="H58" s="7">
        <f>'📋 Báo Cáo 49 Ngày'!O108</f>
        <v/>
      </c>
      <c r="I58" s="7">
        <f>'📋 Báo Cáo 49 Ngày'!P108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Ngày'!G109</f>
        <v/>
      </c>
      <c r="D59" s="18">
        <f>'📋 Báo Cáo 49 Ngày'!I109</f>
        <v/>
      </c>
      <c r="E59" s="18">
        <f>'📋 Báo Cáo 49 Ngày'!K109</f>
        <v/>
      </c>
      <c r="F59" s="18">
        <f>'📋 Báo Cáo 49 Ngày'!M109</f>
        <v/>
      </c>
      <c r="G59" s="5">
        <f>IF(COUNTIF('📋 Báo Cáo 49 Ngày'!H109:N109, "&lt;&gt;")&gt;0, "🖼️ Có kèm ảnh", "—")</f>
        <v/>
      </c>
      <c r="H59" s="7">
        <f>'📋 Báo Cáo 49 Ngày'!O109</f>
        <v/>
      </c>
      <c r="I59" s="7">
        <f>'📋 Báo Cáo 49 Ngày'!P109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Ngày'!G110</f>
        <v/>
      </c>
      <c r="D60" s="18">
        <f>'📋 Báo Cáo 49 Ngày'!I110</f>
        <v/>
      </c>
      <c r="E60" s="18">
        <f>'📋 Báo Cáo 49 Ngày'!K110</f>
        <v/>
      </c>
      <c r="F60" s="18">
        <f>'📋 Báo Cáo 49 Ngày'!M110</f>
        <v/>
      </c>
      <c r="G60" s="5">
        <f>IF(COUNTIF('📋 Báo Cáo 49 Ngày'!H110:N110, "&lt;&gt;")&gt;0, "🖼️ Có kèm ảnh", "—")</f>
        <v/>
      </c>
      <c r="H60" s="7">
        <f>'📋 Báo Cáo 49 Ngày'!O110</f>
        <v/>
      </c>
      <c r="I60" s="7">
        <f>'📋 Báo Cáo 49 Ngày'!P110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Ngày'!G111</f>
        <v/>
      </c>
      <c r="D61" s="18">
        <f>'📋 Báo Cáo 49 Ngày'!I111</f>
        <v/>
      </c>
      <c r="E61" s="18">
        <f>'📋 Báo Cáo 49 Ngày'!K111</f>
        <v/>
      </c>
      <c r="F61" s="18">
        <f>'📋 Báo Cáo 49 Ngày'!M111</f>
        <v/>
      </c>
      <c r="G61" s="5">
        <f>IF(COUNTIF('📋 Báo Cáo 49 Ngày'!H111:N111, "&lt;&gt;")&gt;0, "🖼️ Có kèm ảnh", "—")</f>
        <v/>
      </c>
      <c r="H61" s="7">
        <f>'📋 Báo Cáo 49 Ngày'!O111</f>
        <v/>
      </c>
      <c r="I61" s="7">
        <f>'📋 Báo Cáo 49 Ngày'!P111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Ngày'!G112</f>
        <v/>
      </c>
      <c r="D62" s="18">
        <f>'📋 Báo Cáo 49 Ngày'!I112</f>
        <v/>
      </c>
      <c r="E62" s="18">
        <f>'📋 Báo Cáo 49 Ngày'!K112</f>
        <v/>
      </c>
      <c r="F62" s="18">
        <f>'📋 Báo Cáo 49 Ngày'!M112</f>
        <v/>
      </c>
      <c r="G62" s="5">
        <f>IF(COUNTIF('📋 Báo Cáo 49 Ngày'!H112:N112, "&lt;&gt;")&gt;0, "🖼️ Có kèm ảnh", "—")</f>
        <v/>
      </c>
      <c r="H62" s="7">
        <f>'📋 Báo Cáo 49 Ngày'!O112</f>
        <v/>
      </c>
      <c r="I62" s="7">
        <f>'📋 Báo Cáo 49 Ngày'!P112</f>
        <v/>
      </c>
      <c r="J62" s="18" t="inlineStr"/>
    </row>
    <row r="64">
      <c r="A64" s="20" t="inlineStr">
        <is>
          <t>📍 CHỦ NHẬT (20/09/2026) - NGÀY 13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Ngày'!G113</f>
        <v/>
      </c>
      <c r="D66" s="18">
        <f>'📋 Báo Cáo 49 Ngày'!I113</f>
        <v/>
      </c>
      <c r="E66" s="18">
        <f>'📋 Báo Cáo 49 Ngày'!K113</f>
        <v/>
      </c>
      <c r="F66" s="18">
        <f>'📋 Báo Cáo 49 Ngày'!M113</f>
        <v/>
      </c>
      <c r="G66" s="5">
        <f>IF(COUNTIF('📋 Báo Cáo 49 Ngày'!H113:N113, "&lt;&gt;")&gt;0, "🖼️ Có kèm ảnh", "—")</f>
        <v/>
      </c>
      <c r="H66" s="7">
        <f>'📋 Báo Cáo 49 Ngày'!O113</f>
        <v/>
      </c>
      <c r="I66" s="7">
        <f>'📋 Báo Cáo 49 Ngày'!P113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Ngày'!G114</f>
        <v/>
      </c>
      <c r="D67" s="18">
        <f>'📋 Báo Cáo 49 Ngày'!I114</f>
        <v/>
      </c>
      <c r="E67" s="18">
        <f>'📋 Báo Cáo 49 Ngày'!K114</f>
        <v/>
      </c>
      <c r="F67" s="18">
        <f>'📋 Báo Cáo 49 Ngày'!M114</f>
        <v/>
      </c>
      <c r="G67" s="5">
        <f>IF(COUNTIF('📋 Báo Cáo 49 Ngày'!H114:N114, "&lt;&gt;")&gt;0, "🖼️ Có kèm ảnh", "—")</f>
        <v/>
      </c>
      <c r="H67" s="7">
        <f>'📋 Báo Cáo 49 Ngày'!O114</f>
        <v/>
      </c>
      <c r="I67" s="7">
        <f>'📋 Báo Cáo 49 Ngày'!P114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Ngày'!G115</f>
        <v/>
      </c>
      <c r="D68" s="18">
        <f>'📋 Báo Cáo 49 Ngày'!I115</f>
        <v/>
      </c>
      <c r="E68" s="18">
        <f>'📋 Báo Cáo 49 Ngày'!K115</f>
        <v/>
      </c>
      <c r="F68" s="18">
        <f>'📋 Báo Cáo 49 Ngày'!M115</f>
        <v/>
      </c>
      <c r="G68" s="5">
        <f>IF(COUNTIF('📋 Báo Cáo 49 Ngày'!H115:N115, "&lt;&gt;")&gt;0, "🖼️ Có kèm ảnh", "—")</f>
        <v/>
      </c>
      <c r="H68" s="7">
        <f>'📋 Báo Cáo 49 Ngày'!O115</f>
        <v/>
      </c>
      <c r="I68" s="7">
        <f>'📋 Báo Cáo 49 Ngày'!P115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Ngày'!G116</f>
        <v/>
      </c>
      <c r="D69" s="18">
        <f>'📋 Báo Cáo 49 Ngày'!I116</f>
        <v/>
      </c>
      <c r="E69" s="18">
        <f>'📋 Báo Cáo 49 Ngày'!K116</f>
        <v/>
      </c>
      <c r="F69" s="18">
        <f>'📋 Báo Cáo 49 Ngày'!M116</f>
        <v/>
      </c>
      <c r="G69" s="5">
        <f>IF(COUNTIF('📋 Báo Cáo 49 Ngày'!H116:N116, "&lt;&gt;")&gt;0, "🖼️ Có kèm ảnh", "—")</f>
        <v/>
      </c>
      <c r="H69" s="7">
        <f>'📋 Báo Cáo 49 Ngày'!O116</f>
        <v/>
      </c>
      <c r="I69" s="7">
        <f>'📋 Báo Cáo 49 Ngày'!P116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Ngày'!G117</f>
        <v/>
      </c>
      <c r="D70" s="18">
        <f>'📋 Báo Cáo 49 Ngày'!I117</f>
        <v/>
      </c>
      <c r="E70" s="18">
        <f>'📋 Báo Cáo 49 Ngày'!K117</f>
        <v/>
      </c>
      <c r="F70" s="18">
        <f>'📋 Báo Cáo 49 Ngày'!M117</f>
        <v/>
      </c>
      <c r="G70" s="5">
        <f>IF(COUNTIF('📋 Báo Cáo 49 Ngày'!H117:N117, "&lt;&gt;")&gt;0, "🖼️ Có kèm ảnh", "—")</f>
        <v/>
      </c>
      <c r="H70" s="7">
        <f>'📋 Báo Cáo 49 Ngày'!O117</f>
        <v/>
      </c>
      <c r="I70" s="7">
        <f>'📋 Báo Cáo 49 Ngày'!P117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Ngày'!G118</f>
        <v/>
      </c>
      <c r="D71" s="18">
        <f>'📋 Báo Cáo 49 Ngày'!I118</f>
        <v/>
      </c>
      <c r="E71" s="18">
        <f>'📋 Báo Cáo 49 Ngày'!K118</f>
        <v/>
      </c>
      <c r="F71" s="18">
        <f>'📋 Báo Cáo 49 Ngày'!M118</f>
        <v/>
      </c>
      <c r="G71" s="5">
        <f>IF(COUNTIF('📋 Báo Cáo 49 Ngày'!H118:N118, "&lt;&gt;")&gt;0, "🖼️ Có kèm ảnh", "—")</f>
        <v/>
      </c>
      <c r="H71" s="7">
        <f>'📋 Báo Cáo 49 Ngày'!O118</f>
        <v/>
      </c>
      <c r="I71" s="7">
        <f>'📋 Báo Cáo 49 Ngày'!P118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Ngày'!G119</f>
        <v/>
      </c>
      <c r="D72" s="18">
        <f>'📋 Báo Cáo 49 Ngày'!I119</f>
        <v/>
      </c>
      <c r="E72" s="18">
        <f>'📋 Báo Cáo 49 Ngày'!K119</f>
        <v/>
      </c>
      <c r="F72" s="18">
        <f>'📋 Báo Cáo 49 Ngày'!M119</f>
        <v/>
      </c>
      <c r="G72" s="5">
        <f>IF(COUNTIF('📋 Báo Cáo 49 Ngày'!H119:N119, "&lt;&gt;")&gt;0, "🖼️ Có kèm ảnh", "—")</f>
        <v/>
      </c>
      <c r="H72" s="7">
        <f>'📋 Báo Cáo 49 Ngày'!O119</f>
        <v/>
      </c>
      <c r="I72" s="7">
        <f>'📋 Báo Cáo 49 Ngày'!P119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Ngày'!G120</f>
        <v/>
      </c>
      <c r="D73" s="18">
        <f>'📋 Báo Cáo 49 Ngày'!I120</f>
        <v/>
      </c>
      <c r="E73" s="18">
        <f>'📋 Báo Cáo 49 Ngày'!K120</f>
        <v/>
      </c>
      <c r="F73" s="18">
        <f>'📋 Báo Cáo 49 Ngày'!M120</f>
        <v/>
      </c>
      <c r="G73" s="5">
        <f>IF(COUNTIF('📋 Báo Cáo 49 Ngày'!H120:N120, "&lt;&gt;")&gt;0, "🖼️ Có kèm ảnh", "—")</f>
        <v/>
      </c>
      <c r="H73" s="7">
        <f>'📋 Báo Cáo 49 Ngày'!O120</f>
        <v/>
      </c>
      <c r="I73" s="7">
        <f>'📋 Báo Cáo 49 Ngày'!P120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Ngày'!G121</f>
        <v/>
      </c>
      <c r="D74" s="18">
        <f>'📋 Báo Cáo 49 Ngày'!I121</f>
        <v/>
      </c>
      <c r="E74" s="18">
        <f>'📋 Báo Cáo 49 Ngày'!K121</f>
        <v/>
      </c>
      <c r="F74" s="18">
        <f>'📋 Báo Cáo 49 Ngày'!M121</f>
        <v/>
      </c>
      <c r="G74" s="5">
        <f>IF(COUNTIF('📋 Báo Cáo 49 Ngày'!H121:N121, "&lt;&gt;")&gt;0, "🖼️ Có kèm ảnh", "—")</f>
        <v/>
      </c>
      <c r="H74" s="7">
        <f>'📋 Báo Cáo 49 Ngày'!O121</f>
        <v/>
      </c>
      <c r="I74" s="7">
        <f>'📋 Báo Cáo 49 Ngày'!P121</f>
        <v/>
      </c>
      <c r="J74" s="18" t="inlineStr"/>
    </row>
    <row r="76">
      <c r="A76" s="20" t="inlineStr">
        <is>
          <t>📍 THỨ 2 (21/09/2026) - NGÀY 14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Ngày'!G122</f>
        <v/>
      </c>
      <c r="D78" s="18">
        <f>'📋 Báo Cáo 49 Ngày'!I122</f>
        <v/>
      </c>
      <c r="E78" s="18">
        <f>'📋 Báo Cáo 49 Ngày'!K122</f>
        <v/>
      </c>
      <c r="F78" s="18">
        <f>'📋 Báo Cáo 49 Ngày'!M122</f>
        <v/>
      </c>
      <c r="G78" s="5">
        <f>IF(COUNTIF('📋 Báo Cáo 49 Ngày'!H122:N122, "&lt;&gt;")&gt;0, "🖼️ Có kèm ảnh", "—")</f>
        <v/>
      </c>
      <c r="H78" s="7">
        <f>'📋 Báo Cáo 49 Ngày'!O122</f>
        <v/>
      </c>
      <c r="I78" s="7">
        <f>'📋 Báo Cáo 49 Ngày'!P122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Ngày'!G123</f>
        <v/>
      </c>
      <c r="D79" s="18">
        <f>'📋 Báo Cáo 49 Ngày'!I123</f>
        <v/>
      </c>
      <c r="E79" s="18">
        <f>'📋 Báo Cáo 49 Ngày'!K123</f>
        <v/>
      </c>
      <c r="F79" s="18">
        <f>'📋 Báo Cáo 49 Ngày'!M123</f>
        <v/>
      </c>
      <c r="G79" s="5">
        <f>IF(COUNTIF('📋 Báo Cáo 49 Ngày'!H123:N123, "&lt;&gt;")&gt;0, "🖼️ Có kèm ảnh", "—")</f>
        <v/>
      </c>
      <c r="H79" s="7">
        <f>'📋 Báo Cáo 49 Ngày'!O123</f>
        <v/>
      </c>
      <c r="I79" s="7">
        <f>'📋 Báo Cáo 49 Ngày'!P123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Ngày'!G124</f>
        <v/>
      </c>
      <c r="D80" s="18">
        <f>'📋 Báo Cáo 49 Ngày'!I124</f>
        <v/>
      </c>
      <c r="E80" s="18">
        <f>'📋 Báo Cáo 49 Ngày'!K124</f>
        <v/>
      </c>
      <c r="F80" s="18">
        <f>'📋 Báo Cáo 49 Ngày'!M124</f>
        <v/>
      </c>
      <c r="G80" s="5">
        <f>IF(COUNTIF('📋 Báo Cáo 49 Ngày'!H124:N124, "&lt;&gt;")&gt;0, "🖼️ Có kèm ảnh", "—")</f>
        <v/>
      </c>
      <c r="H80" s="7">
        <f>'📋 Báo Cáo 49 Ngày'!O124</f>
        <v/>
      </c>
      <c r="I80" s="7">
        <f>'📋 Báo Cáo 49 Ngày'!P124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Ngày'!G125</f>
        <v/>
      </c>
      <c r="D81" s="18">
        <f>'📋 Báo Cáo 49 Ngày'!I125</f>
        <v/>
      </c>
      <c r="E81" s="18">
        <f>'📋 Báo Cáo 49 Ngày'!K125</f>
        <v/>
      </c>
      <c r="F81" s="18">
        <f>'📋 Báo Cáo 49 Ngày'!M125</f>
        <v/>
      </c>
      <c r="G81" s="5">
        <f>IF(COUNTIF('📋 Báo Cáo 49 Ngày'!H125:N125, "&lt;&gt;")&gt;0, "🖼️ Có kèm ảnh", "—")</f>
        <v/>
      </c>
      <c r="H81" s="7">
        <f>'📋 Báo Cáo 49 Ngày'!O125</f>
        <v/>
      </c>
      <c r="I81" s="7">
        <f>'📋 Báo Cáo 49 Ngày'!P125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Ngày'!G126</f>
        <v/>
      </c>
      <c r="D82" s="18">
        <f>'📋 Báo Cáo 49 Ngày'!I126</f>
        <v/>
      </c>
      <c r="E82" s="18">
        <f>'📋 Báo Cáo 49 Ngày'!K126</f>
        <v/>
      </c>
      <c r="F82" s="18">
        <f>'📋 Báo Cáo 49 Ngày'!M126</f>
        <v/>
      </c>
      <c r="G82" s="5">
        <f>IF(COUNTIF('📋 Báo Cáo 49 Ngày'!H126:N126, "&lt;&gt;")&gt;0, "🖼️ Có kèm ảnh", "—")</f>
        <v/>
      </c>
      <c r="H82" s="7">
        <f>'📋 Báo Cáo 49 Ngày'!O126</f>
        <v/>
      </c>
      <c r="I82" s="7">
        <f>'📋 Báo Cáo 49 Ngày'!P126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Ngày'!G127</f>
        <v/>
      </c>
      <c r="D83" s="18">
        <f>'📋 Báo Cáo 49 Ngày'!I127</f>
        <v/>
      </c>
      <c r="E83" s="18">
        <f>'📋 Báo Cáo 49 Ngày'!K127</f>
        <v/>
      </c>
      <c r="F83" s="18">
        <f>'📋 Báo Cáo 49 Ngày'!M127</f>
        <v/>
      </c>
      <c r="G83" s="5">
        <f>IF(COUNTIF('📋 Báo Cáo 49 Ngày'!H127:N127, "&lt;&gt;")&gt;0, "🖼️ Có kèm ảnh", "—")</f>
        <v/>
      </c>
      <c r="H83" s="7">
        <f>'📋 Báo Cáo 49 Ngày'!O127</f>
        <v/>
      </c>
      <c r="I83" s="7">
        <f>'📋 Báo Cáo 49 Ngày'!P127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Ngày'!G128</f>
        <v/>
      </c>
      <c r="D84" s="18">
        <f>'📋 Báo Cáo 49 Ngày'!I128</f>
        <v/>
      </c>
      <c r="E84" s="18">
        <f>'📋 Báo Cáo 49 Ngày'!K128</f>
        <v/>
      </c>
      <c r="F84" s="18">
        <f>'📋 Báo Cáo 49 Ngày'!M128</f>
        <v/>
      </c>
      <c r="G84" s="5">
        <f>IF(COUNTIF('📋 Báo Cáo 49 Ngày'!H128:N128, "&lt;&gt;")&gt;0, "🖼️ Có kèm ảnh", "—")</f>
        <v/>
      </c>
      <c r="H84" s="7">
        <f>'📋 Báo Cáo 49 Ngày'!O128</f>
        <v/>
      </c>
      <c r="I84" s="7">
        <f>'📋 Báo Cáo 49 Ngày'!P128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Ngày'!G129</f>
        <v/>
      </c>
      <c r="D85" s="18">
        <f>'📋 Báo Cáo 49 Ngày'!I129</f>
        <v/>
      </c>
      <c r="E85" s="18">
        <f>'📋 Báo Cáo 49 Ngày'!K129</f>
        <v/>
      </c>
      <c r="F85" s="18">
        <f>'📋 Báo Cáo 49 Ngày'!M129</f>
        <v/>
      </c>
      <c r="G85" s="5">
        <f>IF(COUNTIF('📋 Báo Cáo 49 Ngày'!H129:N129, "&lt;&gt;")&gt;0, "🖼️ Có kèm ảnh", "—")</f>
        <v/>
      </c>
      <c r="H85" s="7">
        <f>'📋 Báo Cáo 49 Ngày'!O129</f>
        <v/>
      </c>
      <c r="I85" s="7">
        <f>'📋 Báo Cáo 49 Ngày'!P129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Ngày'!G130</f>
        <v/>
      </c>
      <c r="D86" s="18">
        <f>'📋 Báo Cáo 49 Ngày'!I130</f>
        <v/>
      </c>
      <c r="E86" s="18">
        <f>'📋 Báo Cáo 49 Ngày'!K130</f>
        <v/>
      </c>
      <c r="F86" s="18">
        <f>'📋 Báo Cáo 49 Ngày'!M130</f>
        <v/>
      </c>
      <c r="G86" s="5">
        <f>IF(COUNTIF('📋 Báo Cáo 49 Ngày'!H130:N130, "&lt;&gt;")&gt;0, "🖼️ Có kèm ảnh", "—")</f>
        <v/>
      </c>
      <c r="H86" s="7">
        <f>'📋 Báo Cáo 49 Ngày'!O130</f>
        <v/>
      </c>
      <c r="I86" s="7">
        <f>'📋 Báo Cáo 49 Ngày'!P130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3 (22/09 - 28/09/2026) - BÁO CÁO 9 THÀNH VIÊN</t>
        </is>
      </c>
    </row>
    <row r="2"/>
    <row r="4">
      <c r="A4" s="20" t="inlineStr">
        <is>
          <t>📍 THỨ 3 (22/09/2026) - NGÀY 15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Ngày'!G131</f>
        <v/>
      </c>
      <c r="D6" s="18">
        <f>'📋 Báo Cáo 49 Ngày'!I131</f>
        <v/>
      </c>
      <c r="E6" s="18">
        <f>'📋 Báo Cáo 49 Ngày'!K131</f>
        <v/>
      </c>
      <c r="F6" s="18">
        <f>'📋 Báo Cáo 49 Ngày'!M131</f>
        <v/>
      </c>
      <c r="G6" s="5">
        <f>IF(COUNTIF('📋 Báo Cáo 49 Ngày'!H131:N131, "&lt;&gt;")&gt;0, "🖼️ Có kèm ảnh", "—")</f>
        <v/>
      </c>
      <c r="H6" s="7">
        <f>'📋 Báo Cáo 49 Ngày'!O131</f>
        <v/>
      </c>
      <c r="I6" s="7">
        <f>'📋 Báo Cáo 49 Ngày'!P131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Ngày'!G132</f>
        <v/>
      </c>
      <c r="D7" s="18">
        <f>'📋 Báo Cáo 49 Ngày'!I132</f>
        <v/>
      </c>
      <c r="E7" s="18">
        <f>'📋 Báo Cáo 49 Ngày'!K132</f>
        <v/>
      </c>
      <c r="F7" s="18">
        <f>'📋 Báo Cáo 49 Ngày'!M132</f>
        <v/>
      </c>
      <c r="G7" s="5">
        <f>IF(COUNTIF('📋 Báo Cáo 49 Ngày'!H132:N132, "&lt;&gt;")&gt;0, "🖼️ Có kèm ảnh", "—")</f>
        <v/>
      </c>
      <c r="H7" s="7">
        <f>'📋 Báo Cáo 49 Ngày'!O132</f>
        <v/>
      </c>
      <c r="I7" s="7">
        <f>'📋 Báo Cáo 49 Ngày'!P132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Ngày'!G133</f>
        <v/>
      </c>
      <c r="D8" s="18">
        <f>'📋 Báo Cáo 49 Ngày'!I133</f>
        <v/>
      </c>
      <c r="E8" s="18">
        <f>'📋 Báo Cáo 49 Ngày'!K133</f>
        <v/>
      </c>
      <c r="F8" s="18">
        <f>'📋 Báo Cáo 49 Ngày'!M133</f>
        <v/>
      </c>
      <c r="G8" s="5">
        <f>IF(COUNTIF('📋 Báo Cáo 49 Ngày'!H133:N133, "&lt;&gt;")&gt;0, "🖼️ Có kèm ảnh", "—")</f>
        <v/>
      </c>
      <c r="H8" s="7">
        <f>'📋 Báo Cáo 49 Ngày'!O133</f>
        <v/>
      </c>
      <c r="I8" s="7">
        <f>'📋 Báo Cáo 49 Ngày'!P133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Ngày'!G134</f>
        <v/>
      </c>
      <c r="D9" s="18">
        <f>'📋 Báo Cáo 49 Ngày'!I134</f>
        <v/>
      </c>
      <c r="E9" s="18">
        <f>'📋 Báo Cáo 49 Ngày'!K134</f>
        <v/>
      </c>
      <c r="F9" s="18">
        <f>'📋 Báo Cáo 49 Ngày'!M134</f>
        <v/>
      </c>
      <c r="G9" s="5">
        <f>IF(COUNTIF('📋 Báo Cáo 49 Ngày'!H134:N134, "&lt;&gt;")&gt;0, "🖼️ Có kèm ảnh", "—")</f>
        <v/>
      </c>
      <c r="H9" s="7">
        <f>'📋 Báo Cáo 49 Ngày'!O134</f>
        <v/>
      </c>
      <c r="I9" s="7">
        <f>'📋 Báo Cáo 49 Ngày'!P134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Ngày'!G135</f>
        <v/>
      </c>
      <c r="D10" s="18">
        <f>'📋 Báo Cáo 49 Ngày'!I135</f>
        <v/>
      </c>
      <c r="E10" s="18">
        <f>'📋 Báo Cáo 49 Ngày'!K135</f>
        <v/>
      </c>
      <c r="F10" s="18">
        <f>'📋 Báo Cáo 49 Ngày'!M135</f>
        <v/>
      </c>
      <c r="G10" s="5">
        <f>IF(COUNTIF('📋 Báo Cáo 49 Ngày'!H135:N135, "&lt;&gt;")&gt;0, "🖼️ Có kèm ảnh", "—")</f>
        <v/>
      </c>
      <c r="H10" s="7">
        <f>'📋 Báo Cáo 49 Ngày'!O135</f>
        <v/>
      </c>
      <c r="I10" s="7">
        <f>'📋 Báo Cáo 49 Ngày'!P135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Ngày'!G136</f>
        <v/>
      </c>
      <c r="D11" s="18">
        <f>'📋 Báo Cáo 49 Ngày'!I136</f>
        <v/>
      </c>
      <c r="E11" s="18">
        <f>'📋 Báo Cáo 49 Ngày'!K136</f>
        <v/>
      </c>
      <c r="F11" s="18">
        <f>'📋 Báo Cáo 49 Ngày'!M136</f>
        <v/>
      </c>
      <c r="G11" s="5">
        <f>IF(COUNTIF('📋 Báo Cáo 49 Ngày'!H136:N136, "&lt;&gt;")&gt;0, "🖼️ Có kèm ảnh", "—")</f>
        <v/>
      </c>
      <c r="H11" s="7">
        <f>'📋 Báo Cáo 49 Ngày'!O136</f>
        <v/>
      </c>
      <c r="I11" s="7">
        <f>'📋 Báo Cáo 49 Ngày'!P136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Ngày'!G137</f>
        <v/>
      </c>
      <c r="D12" s="18">
        <f>'📋 Báo Cáo 49 Ngày'!I137</f>
        <v/>
      </c>
      <c r="E12" s="18">
        <f>'📋 Báo Cáo 49 Ngày'!K137</f>
        <v/>
      </c>
      <c r="F12" s="18">
        <f>'📋 Báo Cáo 49 Ngày'!M137</f>
        <v/>
      </c>
      <c r="G12" s="5">
        <f>IF(COUNTIF('📋 Báo Cáo 49 Ngày'!H137:N137, "&lt;&gt;")&gt;0, "🖼️ Có kèm ảnh", "—")</f>
        <v/>
      </c>
      <c r="H12" s="7">
        <f>'📋 Báo Cáo 49 Ngày'!O137</f>
        <v/>
      </c>
      <c r="I12" s="7">
        <f>'📋 Báo Cáo 49 Ngày'!P137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Ngày'!G138</f>
        <v/>
      </c>
      <c r="D13" s="18">
        <f>'📋 Báo Cáo 49 Ngày'!I138</f>
        <v/>
      </c>
      <c r="E13" s="18">
        <f>'📋 Báo Cáo 49 Ngày'!K138</f>
        <v/>
      </c>
      <c r="F13" s="18">
        <f>'📋 Báo Cáo 49 Ngày'!M138</f>
        <v/>
      </c>
      <c r="G13" s="5">
        <f>IF(COUNTIF('📋 Báo Cáo 49 Ngày'!H138:N138, "&lt;&gt;")&gt;0, "🖼️ Có kèm ảnh", "—")</f>
        <v/>
      </c>
      <c r="H13" s="7">
        <f>'📋 Báo Cáo 49 Ngày'!O138</f>
        <v/>
      </c>
      <c r="I13" s="7">
        <f>'📋 Báo Cáo 49 Ngày'!P138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Ngày'!G139</f>
        <v/>
      </c>
      <c r="D14" s="18">
        <f>'📋 Báo Cáo 49 Ngày'!I139</f>
        <v/>
      </c>
      <c r="E14" s="18">
        <f>'📋 Báo Cáo 49 Ngày'!K139</f>
        <v/>
      </c>
      <c r="F14" s="18">
        <f>'📋 Báo Cáo 49 Ngày'!M139</f>
        <v/>
      </c>
      <c r="G14" s="5">
        <f>IF(COUNTIF('📋 Báo Cáo 49 Ngày'!H139:N139, "&lt;&gt;")&gt;0, "🖼️ Có kèm ảnh", "—")</f>
        <v/>
      </c>
      <c r="H14" s="7">
        <f>'📋 Báo Cáo 49 Ngày'!O139</f>
        <v/>
      </c>
      <c r="I14" s="7">
        <f>'📋 Báo Cáo 49 Ngày'!P139</f>
        <v/>
      </c>
      <c r="J14" s="18" t="inlineStr"/>
    </row>
    <row r="16">
      <c r="A16" s="20" t="inlineStr">
        <is>
          <t>📍 THỨ 4 (23/09/2026) - NGÀY 16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Ngày'!G140</f>
        <v/>
      </c>
      <c r="D18" s="18">
        <f>'📋 Báo Cáo 49 Ngày'!I140</f>
        <v/>
      </c>
      <c r="E18" s="18">
        <f>'📋 Báo Cáo 49 Ngày'!K140</f>
        <v/>
      </c>
      <c r="F18" s="18">
        <f>'📋 Báo Cáo 49 Ngày'!M140</f>
        <v/>
      </c>
      <c r="G18" s="5">
        <f>IF(COUNTIF('📋 Báo Cáo 49 Ngày'!H140:N140, "&lt;&gt;")&gt;0, "🖼️ Có kèm ảnh", "—")</f>
        <v/>
      </c>
      <c r="H18" s="7">
        <f>'📋 Báo Cáo 49 Ngày'!O140</f>
        <v/>
      </c>
      <c r="I18" s="7">
        <f>'📋 Báo Cáo 49 Ngày'!P140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Ngày'!G141</f>
        <v/>
      </c>
      <c r="D19" s="18">
        <f>'📋 Báo Cáo 49 Ngày'!I141</f>
        <v/>
      </c>
      <c r="E19" s="18">
        <f>'📋 Báo Cáo 49 Ngày'!K141</f>
        <v/>
      </c>
      <c r="F19" s="18">
        <f>'📋 Báo Cáo 49 Ngày'!M141</f>
        <v/>
      </c>
      <c r="G19" s="5">
        <f>IF(COUNTIF('📋 Báo Cáo 49 Ngày'!H141:N141, "&lt;&gt;")&gt;0, "🖼️ Có kèm ảnh", "—")</f>
        <v/>
      </c>
      <c r="H19" s="7">
        <f>'📋 Báo Cáo 49 Ngày'!O141</f>
        <v/>
      </c>
      <c r="I19" s="7">
        <f>'📋 Báo Cáo 49 Ngày'!P141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Ngày'!G142</f>
        <v/>
      </c>
      <c r="D20" s="18">
        <f>'📋 Báo Cáo 49 Ngày'!I142</f>
        <v/>
      </c>
      <c r="E20" s="18">
        <f>'📋 Báo Cáo 49 Ngày'!K142</f>
        <v/>
      </c>
      <c r="F20" s="18">
        <f>'📋 Báo Cáo 49 Ngày'!M142</f>
        <v/>
      </c>
      <c r="G20" s="5">
        <f>IF(COUNTIF('📋 Báo Cáo 49 Ngày'!H142:N142, "&lt;&gt;")&gt;0, "🖼️ Có kèm ảnh", "—")</f>
        <v/>
      </c>
      <c r="H20" s="7">
        <f>'📋 Báo Cáo 49 Ngày'!O142</f>
        <v/>
      </c>
      <c r="I20" s="7">
        <f>'📋 Báo Cáo 49 Ngày'!P142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Ngày'!G143</f>
        <v/>
      </c>
      <c r="D21" s="18">
        <f>'📋 Báo Cáo 49 Ngày'!I143</f>
        <v/>
      </c>
      <c r="E21" s="18">
        <f>'📋 Báo Cáo 49 Ngày'!K143</f>
        <v/>
      </c>
      <c r="F21" s="18">
        <f>'📋 Báo Cáo 49 Ngày'!M143</f>
        <v/>
      </c>
      <c r="G21" s="5">
        <f>IF(COUNTIF('📋 Báo Cáo 49 Ngày'!H143:N143, "&lt;&gt;")&gt;0, "🖼️ Có kèm ảnh", "—")</f>
        <v/>
      </c>
      <c r="H21" s="7">
        <f>'📋 Báo Cáo 49 Ngày'!O143</f>
        <v/>
      </c>
      <c r="I21" s="7">
        <f>'📋 Báo Cáo 49 Ngày'!P143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Ngày'!G144</f>
        <v/>
      </c>
      <c r="D22" s="18">
        <f>'📋 Báo Cáo 49 Ngày'!I144</f>
        <v/>
      </c>
      <c r="E22" s="18">
        <f>'📋 Báo Cáo 49 Ngày'!K144</f>
        <v/>
      </c>
      <c r="F22" s="18">
        <f>'📋 Báo Cáo 49 Ngày'!M144</f>
        <v/>
      </c>
      <c r="G22" s="5">
        <f>IF(COUNTIF('📋 Báo Cáo 49 Ngày'!H144:N144, "&lt;&gt;")&gt;0, "🖼️ Có kèm ảnh", "—")</f>
        <v/>
      </c>
      <c r="H22" s="7">
        <f>'📋 Báo Cáo 49 Ngày'!O144</f>
        <v/>
      </c>
      <c r="I22" s="7">
        <f>'📋 Báo Cáo 49 Ngày'!P144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Ngày'!G145</f>
        <v/>
      </c>
      <c r="D23" s="18">
        <f>'📋 Báo Cáo 49 Ngày'!I145</f>
        <v/>
      </c>
      <c r="E23" s="18">
        <f>'📋 Báo Cáo 49 Ngày'!K145</f>
        <v/>
      </c>
      <c r="F23" s="18">
        <f>'📋 Báo Cáo 49 Ngày'!M145</f>
        <v/>
      </c>
      <c r="G23" s="5">
        <f>IF(COUNTIF('📋 Báo Cáo 49 Ngày'!H145:N145, "&lt;&gt;")&gt;0, "🖼️ Có kèm ảnh", "—")</f>
        <v/>
      </c>
      <c r="H23" s="7">
        <f>'📋 Báo Cáo 49 Ngày'!O145</f>
        <v/>
      </c>
      <c r="I23" s="7">
        <f>'📋 Báo Cáo 49 Ngày'!P145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Ngày'!G146</f>
        <v/>
      </c>
      <c r="D24" s="18">
        <f>'📋 Báo Cáo 49 Ngày'!I146</f>
        <v/>
      </c>
      <c r="E24" s="18">
        <f>'📋 Báo Cáo 49 Ngày'!K146</f>
        <v/>
      </c>
      <c r="F24" s="18">
        <f>'📋 Báo Cáo 49 Ngày'!M146</f>
        <v/>
      </c>
      <c r="G24" s="5">
        <f>IF(COUNTIF('📋 Báo Cáo 49 Ngày'!H146:N146, "&lt;&gt;")&gt;0, "🖼️ Có kèm ảnh", "—")</f>
        <v/>
      </c>
      <c r="H24" s="7">
        <f>'📋 Báo Cáo 49 Ngày'!O146</f>
        <v/>
      </c>
      <c r="I24" s="7">
        <f>'📋 Báo Cáo 49 Ngày'!P146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Ngày'!G147</f>
        <v/>
      </c>
      <c r="D25" s="18">
        <f>'📋 Báo Cáo 49 Ngày'!I147</f>
        <v/>
      </c>
      <c r="E25" s="18">
        <f>'📋 Báo Cáo 49 Ngày'!K147</f>
        <v/>
      </c>
      <c r="F25" s="18">
        <f>'📋 Báo Cáo 49 Ngày'!M147</f>
        <v/>
      </c>
      <c r="G25" s="5">
        <f>IF(COUNTIF('📋 Báo Cáo 49 Ngày'!H147:N147, "&lt;&gt;")&gt;0, "🖼️ Có kèm ảnh", "—")</f>
        <v/>
      </c>
      <c r="H25" s="7">
        <f>'📋 Báo Cáo 49 Ngày'!O147</f>
        <v/>
      </c>
      <c r="I25" s="7">
        <f>'📋 Báo Cáo 49 Ngày'!P147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Ngày'!G148</f>
        <v/>
      </c>
      <c r="D26" s="18">
        <f>'📋 Báo Cáo 49 Ngày'!I148</f>
        <v/>
      </c>
      <c r="E26" s="18">
        <f>'📋 Báo Cáo 49 Ngày'!K148</f>
        <v/>
      </c>
      <c r="F26" s="18">
        <f>'📋 Báo Cáo 49 Ngày'!M148</f>
        <v/>
      </c>
      <c r="G26" s="5">
        <f>IF(COUNTIF('📋 Báo Cáo 49 Ngày'!H148:N148, "&lt;&gt;")&gt;0, "🖼️ Có kèm ảnh", "—")</f>
        <v/>
      </c>
      <c r="H26" s="7">
        <f>'📋 Báo Cáo 49 Ngày'!O148</f>
        <v/>
      </c>
      <c r="I26" s="7">
        <f>'📋 Báo Cáo 49 Ngày'!P148</f>
        <v/>
      </c>
      <c r="J26" s="18" t="inlineStr"/>
    </row>
    <row r="28">
      <c r="A28" s="20" t="inlineStr">
        <is>
          <t>📍 THỨ 5 (24/09/2026) - NGÀY 17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Ngày'!G149</f>
        <v/>
      </c>
      <c r="D30" s="18">
        <f>'📋 Báo Cáo 49 Ngày'!I149</f>
        <v/>
      </c>
      <c r="E30" s="18">
        <f>'📋 Báo Cáo 49 Ngày'!K149</f>
        <v/>
      </c>
      <c r="F30" s="18">
        <f>'📋 Báo Cáo 49 Ngày'!M149</f>
        <v/>
      </c>
      <c r="G30" s="5">
        <f>IF(COUNTIF('📋 Báo Cáo 49 Ngày'!H149:N149, "&lt;&gt;")&gt;0, "🖼️ Có kèm ảnh", "—")</f>
        <v/>
      </c>
      <c r="H30" s="7">
        <f>'📋 Báo Cáo 49 Ngày'!O149</f>
        <v/>
      </c>
      <c r="I30" s="7">
        <f>'📋 Báo Cáo 49 Ngày'!P149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Ngày'!G150</f>
        <v/>
      </c>
      <c r="D31" s="18">
        <f>'📋 Báo Cáo 49 Ngày'!I150</f>
        <v/>
      </c>
      <c r="E31" s="18">
        <f>'📋 Báo Cáo 49 Ngày'!K150</f>
        <v/>
      </c>
      <c r="F31" s="18">
        <f>'📋 Báo Cáo 49 Ngày'!M150</f>
        <v/>
      </c>
      <c r="G31" s="5">
        <f>IF(COUNTIF('📋 Báo Cáo 49 Ngày'!H150:N150, "&lt;&gt;")&gt;0, "🖼️ Có kèm ảnh", "—")</f>
        <v/>
      </c>
      <c r="H31" s="7">
        <f>'📋 Báo Cáo 49 Ngày'!O150</f>
        <v/>
      </c>
      <c r="I31" s="7">
        <f>'📋 Báo Cáo 49 Ngày'!P150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Ngày'!G151</f>
        <v/>
      </c>
      <c r="D32" s="18">
        <f>'📋 Báo Cáo 49 Ngày'!I151</f>
        <v/>
      </c>
      <c r="E32" s="18">
        <f>'📋 Báo Cáo 49 Ngày'!K151</f>
        <v/>
      </c>
      <c r="F32" s="18">
        <f>'📋 Báo Cáo 49 Ngày'!M151</f>
        <v/>
      </c>
      <c r="G32" s="5">
        <f>IF(COUNTIF('📋 Báo Cáo 49 Ngày'!H151:N151, "&lt;&gt;")&gt;0, "🖼️ Có kèm ảnh", "—")</f>
        <v/>
      </c>
      <c r="H32" s="7">
        <f>'📋 Báo Cáo 49 Ngày'!O151</f>
        <v/>
      </c>
      <c r="I32" s="7">
        <f>'📋 Báo Cáo 49 Ngày'!P151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Ngày'!G152</f>
        <v/>
      </c>
      <c r="D33" s="18">
        <f>'📋 Báo Cáo 49 Ngày'!I152</f>
        <v/>
      </c>
      <c r="E33" s="18">
        <f>'📋 Báo Cáo 49 Ngày'!K152</f>
        <v/>
      </c>
      <c r="F33" s="18">
        <f>'📋 Báo Cáo 49 Ngày'!M152</f>
        <v/>
      </c>
      <c r="G33" s="5">
        <f>IF(COUNTIF('📋 Báo Cáo 49 Ngày'!H152:N152, "&lt;&gt;")&gt;0, "🖼️ Có kèm ảnh", "—")</f>
        <v/>
      </c>
      <c r="H33" s="7">
        <f>'📋 Báo Cáo 49 Ngày'!O152</f>
        <v/>
      </c>
      <c r="I33" s="7">
        <f>'📋 Báo Cáo 49 Ngày'!P152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Ngày'!G153</f>
        <v/>
      </c>
      <c r="D34" s="18">
        <f>'📋 Báo Cáo 49 Ngày'!I153</f>
        <v/>
      </c>
      <c r="E34" s="18">
        <f>'📋 Báo Cáo 49 Ngày'!K153</f>
        <v/>
      </c>
      <c r="F34" s="18">
        <f>'📋 Báo Cáo 49 Ngày'!M153</f>
        <v/>
      </c>
      <c r="G34" s="5">
        <f>IF(COUNTIF('📋 Báo Cáo 49 Ngày'!H153:N153, "&lt;&gt;")&gt;0, "🖼️ Có kèm ảnh", "—")</f>
        <v/>
      </c>
      <c r="H34" s="7">
        <f>'📋 Báo Cáo 49 Ngày'!O153</f>
        <v/>
      </c>
      <c r="I34" s="7">
        <f>'📋 Báo Cáo 49 Ngày'!P153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Ngày'!G154</f>
        <v/>
      </c>
      <c r="D35" s="18">
        <f>'📋 Báo Cáo 49 Ngày'!I154</f>
        <v/>
      </c>
      <c r="E35" s="18">
        <f>'📋 Báo Cáo 49 Ngày'!K154</f>
        <v/>
      </c>
      <c r="F35" s="18">
        <f>'📋 Báo Cáo 49 Ngày'!M154</f>
        <v/>
      </c>
      <c r="G35" s="5">
        <f>IF(COUNTIF('📋 Báo Cáo 49 Ngày'!H154:N154, "&lt;&gt;")&gt;0, "🖼️ Có kèm ảnh", "—")</f>
        <v/>
      </c>
      <c r="H35" s="7">
        <f>'📋 Báo Cáo 49 Ngày'!O154</f>
        <v/>
      </c>
      <c r="I35" s="7">
        <f>'📋 Báo Cáo 49 Ngày'!P154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Ngày'!G155</f>
        <v/>
      </c>
      <c r="D36" s="18">
        <f>'📋 Báo Cáo 49 Ngày'!I155</f>
        <v/>
      </c>
      <c r="E36" s="18">
        <f>'📋 Báo Cáo 49 Ngày'!K155</f>
        <v/>
      </c>
      <c r="F36" s="18">
        <f>'📋 Báo Cáo 49 Ngày'!M155</f>
        <v/>
      </c>
      <c r="G36" s="5">
        <f>IF(COUNTIF('📋 Báo Cáo 49 Ngày'!H155:N155, "&lt;&gt;")&gt;0, "🖼️ Có kèm ảnh", "—")</f>
        <v/>
      </c>
      <c r="H36" s="7">
        <f>'📋 Báo Cáo 49 Ngày'!O155</f>
        <v/>
      </c>
      <c r="I36" s="7">
        <f>'📋 Báo Cáo 49 Ngày'!P155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Ngày'!G156</f>
        <v/>
      </c>
      <c r="D37" s="18">
        <f>'📋 Báo Cáo 49 Ngày'!I156</f>
        <v/>
      </c>
      <c r="E37" s="18">
        <f>'📋 Báo Cáo 49 Ngày'!K156</f>
        <v/>
      </c>
      <c r="F37" s="18">
        <f>'📋 Báo Cáo 49 Ngày'!M156</f>
        <v/>
      </c>
      <c r="G37" s="5">
        <f>IF(COUNTIF('📋 Báo Cáo 49 Ngày'!H156:N156, "&lt;&gt;")&gt;0, "🖼️ Có kèm ảnh", "—")</f>
        <v/>
      </c>
      <c r="H37" s="7">
        <f>'📋 Báo Cáo 49 Ngày'!O156</f>
        <v/>
      </c>
      <c r="I37" s="7">
        <f>'📋 Báo Cáo 49 Ngày'!P156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Ngày'!G157</f>
        <v/>
      </c>
      <c r="D38" s="18">
        <f>'📋 Báo Cáo 49 Ngày'!I157</f>
        <v/>
      </c>
      <c r="E38" s="18">
        <f>'📋 Báo Cáo 49 Ngày'!K157</f>
        <v/>
      </c>
      <c r="F38" s="18">
        <f>'📋 Báo Cáo 49 Ngày'!M157</f>
        <v/>
      </c>
      <c r="G38" s="5">
        <f>IF(COUNTIF('📋 Báo Cáo 49 Ngày'!H157:N157, "&lt;&gt;")&gt;0, "🖼️ Có kèm ảnh", "—")</f>
        <v/>
      </c>
      <c r="H38" s="7">
        <f>'📋 Báo Cáo 49 Ngày'!O157</f>
        <v/>
      </c>
      <c r="I38" s="7">
        <f>'📋 Báo Cáo 49 Ngày'!P157</f>
        <v/>
      </c>
      <c r="J38" s="18" t="inlineStr"/>
    </row>
    <row r="40">
      <c r="A40" s="20" t="inlineStr">
        <is>
          <t>📍 THỨ 6 (25/09/2026) - NGÀY 18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Ngày'!G158</f>
        <v/>
      </c>
      <c r="D42" s="18">
        <f>'📋 Báo Cáo 49 Ngày'!I158</f>
        <v/>
      </c>
      <c r="E42" s="18">
        <f>'📋 Báo Cáo 49 Ngày'!K158</f>
        <v/>
      </c>
      <c r="F42" s="18">
        <f>'📋 Báo Cáo 49 Ngày'!M158</f>
        <v/>
      </c>
      <c r="G42" s="5">
        <f>IF(COUNTIF('📋 Báo Cáo 49 Ngày'!H158:N158, "&lt;&gt;")&gt;0, "🖼️ Có kèm ảnh", "—")</f>
        <v/>
      </c>
      <c r="H42" s="7">
        <f>'📋 Báo Cáo 49 Ngày'!O158</f>
        <v/>
      </c>
      <c r="I42" s="7">
        <f>'📋 Báo Cáo 49 Ngày'!P158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Ngày'!G159</f>
        <v/>
      </c>
      <c r="D43" s="18">
        <f>'📋 Báo Cáo 49 Ngày'!I159</f>
        <v/>
      </c>
      <c r="E43" s="18">
        <f>'📋 Báo Cáo 49 Ngày'!K159</f>
        <v/>
      </c>
      <c r="F43" s="18">
        <f>'📋 Báo Cáo 49 Ngày'!M159</f>
        <v/>
      </c>
      <c r="G43" s="5">
        <f>IF(COUNTIF('📋 Báo Cáo 49 Ngày'!H159:N159, "&lt;&gt;")&gt;0, "🖼️ Có kèm ảnh", "—")</f>
        <v/>
      </c>
      <c r="H43" s="7">
        <f>'📋 Báo Cáo 49 Ngày'!O159</f>
        <v/>
      </c>
      <c r="I43" s="7">
        <f>'📋 Báo Cáo 49 Ngày'!P159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Ngày'!G160</f>
        <v/>
      </c>
      <c r="D44" s="18">
        <f>'📋 Báo Cáo 49 Ngày'!I160</f>
        <v/>
      </c>
      <c r="E44" s="18">
        <f>'📋 Báo Cáo 49 Ngày'!K160</f>
        <v/>
      </c>
      <c r="F44" s="18">
        <f>'📋 Báo Cáo 49 Ngày'!M160</f>
        <v/>
      </c>
      <c r="G44" s="5">
        <f>IF(COUNTIF('📋 Báo Cáo 49 Ngày'!H160:N160, "&lt;&gt;")&gt;0, "🖼️ Có kèm ảnh", "—")</f>
        <v/>
      </c>
      <c r="H44" s="7">
        <f>'📋 Báo Cáo 49 Ngày'!O160</f>
        <v/>
      </c>
      <c r="I44" s="7">
        <f>'📋 Báo Cáo 49 Ngày'!P160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Ngày'!G161</f>
        <v/>
      </c>
      <c r="D45" s="18">
        <f>'📋 Báo Cáo 49 Ngày'!I161</f>
        <v/>
      </c>
      <c r="E45" s="18">
        <f>'📋 Báo Cáo 49 Ngày'!K161</f>
        <v/>
      </c>
      <c r="F45" s="18">
        <f>'📋 Báo Cáo 49 Ngày'!M161</f>
        <v/>
      </c>
      <c r="G45" s="5">
        <f>IF(COUNTIF('📋 Báo Cáo 49 Ngày'!H161:N161, "&lt;&gt;")&gt;0, "🖼️ Có kèm ảnh", "—")</f>
        <v/>
      </c>
      <c r="H45" s="7">
        <f>'📋 Báo Cáo 49 Ngày'!O161</f>
        <v/>
      </c>
      <c r="I45" s="7">
        <f>'📋 Báo Cáo 49 Ngày'!P161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Ngày'!G162</f>
        <v/>
      </c>
      <c r="D46" s="18">
        <f>'📋 Báo Cáo 49 Ngày'!I162</f>
        <v/>
      </c>
      <c r="E46" s="18">
        <f>'📋 Báo Cáo 49 Ngày'!K162</f>
        <v/>
      </c>
      <c r="F46" s="18">
        <f>'📋 Báo Cáo 49 Ngày'!M162</f>
        <v/>
      </c>
      <c r="G46" s="5">
        <f>IF(COUNTIF('📋 Báo Cáo 49 Ngày'!H162:N162, "&lt;&gt;")&gt;0, "🖼️ Có kèm ảnh", "—")</f>
        <v/>
      </c>
      <c r="H46" s="7">
        <f>'📋 Báo Cáo 49 Ngày'!O162</f>
        <v/>
      </c>
      <c r="I46" s="7">
        <f>'📋 Báo Cáo 49 Ngày'!P162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Ngày'!G163</f>
        <v/>
      </c>
      <c r="D47" s="18">
        <f>'📋 Báo Cáo 49 Ngày'!I163</f>
        <v/>
      </c>
      <c r="E47" s="18">
        <f>'📋 Báo Cáo 49 Ngày'!K163</f>
        <v/>
      </c>
      <c r="F47" s="18">
        <f>'📋 Báo Cáo 49 Ngày'!M163</f>
        <v/>
      </c>
      <c r="G47" s="5">
        <f>IF(COUNTIF('📋 Báo Cáo 49 Ngày'!H163:N163, "&lt;&gt;")&gt;0, "🖼️ Có kèm ảnh", "—")</f>
        <v/>
      </c>
      <c r="H47" s="7">
        <f>'📋 Báo Cáo 49 Ngày'!O163</f>
        <v/>
      </c>
      <c r="I47" s="7">
        <f>'📋 Báo Cáo 49 Ngày'!P163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Ngày'!G164</f>
        <v/>
      </c>
      <c r="D48" s="18">
        <f>'📋 Báo Cáo 49 Ngày'!I164</f>
        <v/>
      </c>
      <c r="E48" s="18">
        <f>'📋 Báo Cáo 49 Ngày'!K164</f>
        <v/>
      </c>
      <c r="F48" s="18">
        <f>'📋 Báo Cáo 49 Ngày'!M164</f>
        <v/>
      </c>
      <c r="G48" s="5">
        <f>IF(COUNTIF('📋 Báo Cáo 49 Ngày'!H164:N164, "&lt;&gt;")&gt;0, "🖼️ Có kèm ảnh", "—")</f>
        <v/>
      </c>
      <c r="H48" s="7">
        <f>'📋 Báo Cáo 49 Ngày'!O164</f>
        <v/>
      </c>
      <c r="I48" s="7">
        <f>'📋 Báo Cáo 49 Ngày'!P164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Ngày'!G165</f>
        <v/>
      </c>
      <c r="D49" s="18">
        <f>'📋 Báo Cáo 49 Ngày'!I165</f>
        <v/>
      </c>
      <c r="E49" s="18">
        <f>'📋 Báo Cáo 49 Ngày'!K165</f>
        <v/>
      </c>
      <c r="F49" s="18">
        <f>'📋 Báo Cáo 49 Ngày'!M165</f>
        <v/>
      </c>
      <c r="G49" s="5">
        <f>IF(COUNTIF('📋 Báo Cáo 49 Ngày'!H165:N165, "&lt;&gt;")&gt;0, "🖼️ Có kèm ảnh", "—")</f>
        <v/>
      </c>
      <c r="H49" s="7">
        <f>'📋 Báo Cáo 49 Ngày'!O165</f>
        <v/>
      </c>
      <c r="I49" s="7">
        <f>'📋 Báo Cáo 49 Ngày'!P165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Ngày'!G166</f>
        <v/>
      </c>
      <c r="D50" s="18">
        <f>'📋 Báo Cáo 49 Ngày'!I166</f>
        <v/>
      </c>
      <c r="E50" s="18">
        <f>'📋 Báo Cáo 49 Ngày'!K166</f>
        <v/>
      </c>
      <c r="F50" s="18">
        <f>'📋 Báo Cáo 49 Ngày'!M166</f>
        <v/>
      </c>
      <c r="G50" s="5">
        <f>IF(COUNTIF('📋 Báo Cáo 49 Ngày'!H166:N166, "&lt;&gt;")&gt;0, "🖼️ Có kèm ảnh", "—")</f>
        <v/>
      </c>
      <c r="H50" s="7">
        <f>'📋 Báo Cáo 49 Ngày'!O166</f>
        <v/>
      </c>
      <c r="I50" s="7">
        <f>'📋 Báo Cáo 49 Ngày'!P166</f>
        <v/>
      </c>
      <c r="J50" s="18" t="inlineStr"/>
    </row>
    <row r="52">
      <c r="A52" s="20" t="inlineStr">
        <is>
          <t>📍 THỨ 7 (26/09/2026) - NGÀY 19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Ngày'!G167</f>
        <v/>
      </c>
      <c r="D54" s="18">
        <f>'📋 Báo Cáo 49 Ngày'!I167</f>
        <v/>
      </c>
      <c r="E54" s="18">
        <f>'📋 Báo Cáo 49 Ngày'!K167</f>
        <v/>
      </c>
      <c r="F54" s="18">
        <f>'📋 Báo Cáo 49 Ngày'!M167</f>
        <v/>
      </c>
      <c r="G54" s="5">
        <f>IF(COUNTIF('📋 Báo Cáo 49 Ngày'!H167:N167, "&lt;&gt;")&gt;0, "🖼️ Có kèm ảnh", "—")</f>
        <v/>
      </c>
      <c r="H54" s="7">
        <f>'📋 Báo Cáo 49 Ngày'!O167</f>
        <v/>
      </c>
      <c r="I54" s="7">
        <f>'📋 Báo Cáo 49 Ngày'!P167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Ngày'!G168</f>
        <v/>
      </c>
      <c r="D55" s="18">
        <f>'📋 Báo Cáo 49 Ngày'!I168</f>
        <v/>
      </c>
      <c r="E55" s="18">
        <f>'📋 Báo Cáo 49 Ngày'!K168</f>
        <v/>
      </c>
      <c r="F55" s="18">
        <f>'📋 Báo Cáo 49 Ngày'!M168</f>
        <v/>
      </c>
      <c r="G55" s="5">
        <f>IF(COUNTIF('📋 Báo Cáo 49 Ngày'!H168:N168, "&lt;&gt;")&gt;0, "🖼️ Có kèm ảnh", "—")</f>
        <v/>
      </c>
      <c r="H55" s="7">
        <f>'📋 Báo Cáo 49 Ngày'!O168</f>
        <v/>
      </c>
      <c r="I55" s="7">
        <f>'📋 Báo Cáo 49 Ngày'!P168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Ngày'!G169</f>
        <v/>
      </c>
      <c r="D56" s="18">
        <f>'📋 Báo Cáo 49 Ngày'!I169</f>
        <v/>
      </c>
      <c r="E56" s="18">
        <f>'📋 Báo Cáo 49 Ngày'!K169</f>
        <v/>
      </c>
      <c r="F56" s="18">
        <f>'📋 Báo Cáo 49 Ngày'!M169</f>
        <v/>
      </c>
      <c r="G56" s="5">
        <f>IF(COUNTIF('📋 Báo Cáo 49 Ngày'!H169:N169, "&lt;&gt;")&gt;0, "🖼️ Có kèm ảnh", "—")</f>
        <v/>
      </c>
      <c r="H56" s="7">
        <f>'📋 Báo Cáo 49 Ngày'!O169</f>
        <v/>
      </c>
      <c r="I56" s="7">
        <f>'📋 Báo Cáo 49 Ngày'!P169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Ngày'!G170</f>
        <v/>
      </c>
      <c r="D57" s="18">
        <f>'📋 Báo Cáo 49 Ngày'!I170</f>
        <v/>
      </c>
      <c r="E57" s="18">
        <f>'📋 Báo Cáo 49 Ngày'!K170</f>
        <v/>
      </c>
      <c r="F57" s="18">
        <f>'📋 Báo Cáo 49 Ngày'!M170</f>
        <v/>
      </c>
      <c r="G57" s="5">
        <f>IF(COUNTIF('📋 Báo Cáo 49 Ngày'!H170:N170, "&lt;&gt;")&gt;0, "🖼️ Có kèm ảnh", "—")</f>
        <v/>
      </c>
      <c r="H57" s="7">
        <f>'📋 Báo Cáo 49 Ngày'!O170</f>
        <v/>
      </c>
      <c r="I57" s="7">
        <f>'📋 Báo Cáo 49 Ngày'!P170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Ngày'!G171</f>
        <v/>
      </c>
      <c r="D58" s="18">
        <f>'📋 Báo Cáo 49 Ngày'!I171</f>
        <v/>
      </c>
      <c r="E58" s="18">
        <f>'📋 Báo Cáo 49 Ngày'!K171</f>
        <v/>
      </c>
      <c r="F58" s="18">
        <f>'📋 Báo Cáo 49 Ngày'!M171</f>
        <v/>
      </c>
      <c r="G58" s="5">
        <f>IF(COUNTIF('📋 Báo Cáo 49 Ngày'!H171:N171, "&lt;&gt;")&gt;0, "🖼️ Có kèm ảnh", "—")</f>
        <v/>
      </c>
      <c r="H58" s="7">
        <f>'📋 Báo Cáo 49 Ngày'!O171</f>
        <v/>
      </c>
      <c r="I58" s="7">
        <f>'📋 Báo Cáo 49 Ngày'!P171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Ngày'!G172</f>
        <v/>
      </c>
      <c r="D59" s="18">
        <f>'📋 Báo Cáo 49 Ngày'!I172</f>
        <v/>
      </c>
      <c r="E59" s="18">
        <f>'📋 Báo Cáo 49 Ngày'!K172</f>
        <v/>
      </c>
      <c r="F59" s="18">
        <f>'📋 Báo Cáo 49 Ngày'!M172</f>
        <v/>
      </c>
      <c r="G59" s="5">
        <f>IF(COUNTIF('📋 Báo Cáo 49 Ngày'!H172:N172, "&lt;&gt;")&gt;0, "🖼️ Có kèm ảnh", "—")</f>
        <v/>
      </c>
      <c r="H59" s="7">
        <f>'📋 Báo Cáo 49 Ngày'!O172</f>
        <v/>
      </c>
      <c r="I59" s="7">
        <f>'📋 Báo Cáo 49 Ngày'!P172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Ngày'!G173</f>
        <v/>
      </c>
      <c r="D60" s="18">
        <f>'📋 Báo Cáo 49 Ngày'!I173</f>
        <v/>
      </c>
      <c r="E60" s="18">
        <f>'📋 Báo Cáo 49 Ngày'!K173</f>
        <v/>
      </c>
      <c r="F60" s="18">
        <f>'📋 Báo Cáo 49 Ngày'!M173</f>
        <v/>
      </c>
      <c r="G60" s="5">
        <f>IF(COUNTIF('📋 Báo Cáo 49 Ngày'!H173:N173, "&lt;&gt;")&gt;0, "🖼️ Có kèm ảnh", "—")</f>
        <v/>
      </c>
      <c r="H60" s="7">
        <f>'📋 Báo Cáo 49 Ngày'!O173</f>
        <v/>
      </c>
      <c r="I60" s="7">
        <f>'📋 Báo Cáo 49 Ngày'!P173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Ngày'!G174</f>
        <v/>
      </c>
      <c r="D61" s="18">
        <f>'📋 Báo Cáo 49 Ngày'!I174</f>
        <v/>
      </c>
      <c r="E61" s="18">
        <f>'📋 Báo Cáo 49 Ngày'!K174</f>
        <v/>
      </c>
      <c r="F61" s="18">
        <f>'📋 Báo Cáo 49 Ngày'!M174</f>
        <v/>
      </c>
      <c r="G61" s="5">
        <f>IF(COUNTIF('📋 Báo Cáo 49 Ngày'!H174:N174, "&lt;&gt;")&gt;0, "🖼️ Có kèm ảnh", "—")</f>
        <v/>
      </c>
      <c r="H61" s="7">
        <f>'📋 Báo Cáo 49 Ngày'!O174</f>
        <v/>
      </c>
      <c r="I61" s="7">
        <f>'📋 Báo Cáo 49 Ngày'!P174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Ngày'!G175</f>
        <v/>
      </c>
      <c r="D62" s="18">
        <f>'📋 Báo Cáo 49 Ngày'!I175</f>
        <v/>
      </c>
      <c r="E62" s="18">
        <f>'📋 Báo Cáo 49 Ngày'!K175</f>
        <v/>
      </c>
      <c r="F62" s="18">
        <f>'📋 Báo Cáo 49 Ngày'!M175</f>
        <v/>
      </c>
      <c r="G62" s="5">
        <f>IF(COUNTIF('📋 Báo Cáo 49 Ngày'!H175:N175, "&lt;&gt;")&gt;0, "🖼️ Có kèm ảnh", "—")</f>
        <v/>
      </c>
      <c r="H62" s="7">
        <f>'📋 Báo Cáo 49 Ngày'!O175</f>
        <v/>
      </c>
      <c r="I62" s="7">
        <f>'📋 Báo Cáo 49 Ngày'!P175</f>
        <v/>
      </c>
      <c r="J62" s="18" t="inlineStr"/>
    </row>
    <row r="64">
      <c r="A64" s="20" t="inlineStr">
        <is>
          <t>📍 CHỦ NHẬT (27/09/2026) - NGÀY 20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Ngày'!G176</f>
        <v/>
      </c>
      <c r="D66" s="18">
        <f>'📋 Báo Cáo 49 Ngày'!I176</f>
        <v/>
      </c>
      <c r="E66" s="18">
        <f>'📋 Báo Cáo 49 Ngày'!K176</f>
        <v/>
      </c>
      <c r="F66" s="18">
        <f>'📋 Báo Cáo 49 Ngày'!M176</f>
        <v/>
      </c>
      <c r="G66" s="5">
        <f>IF(COUNTIF('📋 Báo Cáo 49 Ngày'!H176:N176, "&lt;&gt;")&gt;0, "🖼️ Có kèm ảnh", "—")</f>
        <v/>
      </c>
      <c r="H66" s="7">
        <f>'📋 Báo Cáo 49 Ngày'!O176</f>
        <v/>
      </c>
      <c r="I66" s="7">
        <f>'📋 Báo Cáo 49 Ngày'!P176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Ngày'!G177</f>
        <v/>
      </c>
      <c r="D67" s="18">
        <f>'📋 Báo Cáo 49 Ngày'!I177</f>
        <v/>
      </c>
      <c r="E67" s="18">
        <f>'📋 Báo Cáo 49 Ngày'!K177</f>
        <v/>
      </c>
      <c r="F67" s="18">
        <f>'📋 Báo Cáo 49 Ngày'!M177</f>
        <v/>
      </c>
      <c r="G67" s="5">
        <f>IF(COUNTIF('📋 Báo Cáo 49 Ngày'!H177:N177, "&lt;&gt;")&gt;0, "🖼️ Có kèm ảnh", "—")</f>
        <v/>
      </c>
      <c r="H67" s="7">
        <f>'📋 Báo Cáo 49 Ngày'!O177</f>
        <v/>
      </c>
      <c r="I67" s="7">
        <f>'📋 Báo Cáo 49 Ngày'!P177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Ngày'!G178</f>
        <v/>
      </c>
      <c r="D68" s="18">
        <f>'📋 Báo Cáo 49 Ngày'!I178</f>
        <v/>
      </c>
      <c r="E68" s="18">
        <f>'📋 Báo Cáo 49 Ngày'!K178</f>
        <v/>
      </c>
      <c r="F68" s="18">
        <f>'📋 Báo Cáo 49 Ngày'!M178</f>
        <v/>
      </c>
      <c r="G68" s="5">
        <f>IF(COUNTIF('📋 Báo Cáo 49 Ngày'!H178:N178, "&lt;&gt;")&gt;0, "🖼️ Có kèm ảnh", "—")</f>
        <v/>
      </c>
      <c r="H68" s="7">
        <f>'📋 Báo Cáo 49 Ngày'!O178</f>
        <v/>
      </c>
      <c r="I68" s="7">
        <f>'📋 Báo Cáo 49 Ngày'!P178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Ngày'!G179</f>
        <v/>
      </c>
      <c r="D69" s="18">
        <f>'📋 Báo Cáo 49 Ngày'!I179</f>
        <v/>
      </c>
      <c r="E69" s="18">
        <f>'📋 Báo Cáo 49 Ngày'!K179</f>
        <v/>
      </c>
      <c r="F69" s="18">
        <f>'📋 Báo Cáo 49 Ngày'!M179</f>
        <v/>
      </c>
      <c r="G69" s="5">
        <f>IF(COUNTIF('📋 Báo Cáo 49 Ngày'!H179:N179, "&lt;&gt;")&gt;0, "🖼️ Có kèm ảnh", "—")</f>
        <v/>
      </c>
      <c r="H69" s="7">
        <f>'📋 Báo Cáo 49 Ngày'!O179</f>
        <v/>
      </c>
      <c r="I69" s="7">
        <f>'📋 Báo Cáo 49 Ngày'!P179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Ngày'!G180</f>
        <v/>
      </c>
      <c r="D70" s="18">
        <f>'📋 Báo Cáo 49 Ngày'!I180</f>
        <v/>
      </c>
      <c r="E70" s="18">
        <f>'📋 Báo Cáo 49 Ngày'!K180</f>
        <v/>
      </c>
      <c r="F70" s="18">
        <f>'📋 Báo Cáo 49 Ngày'!M180</f>
        <v/>
      </c>
      <c r="G70" s="5">
        <f>IF(COUNTIF('📋 Báo Cáo 49 Ngày'!H180:N180, "&lt;&gt;")&gt;0, "🖼️ Có kèm ảnh", "—")</f>
        <v/>
      </c>
      <c r="H70" s="7">
        <f>'📋 Báo Cáo 49 Ngày'!O180</f>
        <v/>
      </c>
      <c r="I70" s="7">
        <f>'📋 Báo Cáo 49 Ngày'!P180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Ngày'!G181</f>
        <v/>
      </c>
      <c r="D71" s="18">
        <f>'📋 Báo Cáo 49 Ngày'!I181</f>
        <v/>
      </c>
      <c r="E71" s="18">
        <f>'📋 Báo Cáo 49 Ngày'!K181</f>
        <v/>
      </c>
      <c r="F71" s="18">
        <f>'📋 Báo Cáo 49 Ngày'!M181</f>
        <v/>
      </c>
      <c r="G71" s="5">
        <f>IF(COUNTIF('📋 Báo Cáo 49 Ngày'!H181:N181, "&lt;&gt;")&gt;0, "🖼️ Có kèm ảnh", "—")</f>
        <v/>
      </c>
      <c r="H71" s="7">
        <f>'📋 Báo Cáo 49 Ngày'!O181</f>
        <v/>
      </c>
      <c r="I71" s="7">
        <f>'📋 Báo Cáo 49 Ngày'!P181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Ngày'!G182</f>
        <v/>
      </c>
      <c r="D72" s="18">
        <f>'📋 Báo Cáo 49 Ngày'!I182</f>
        <v/>
      </c>
      <c r="E72" s="18">
        <f>'📋 Báo Cáo 49 Ngày'!K182</f>
        <v/>
      </c>
      <c r="F72" s="18">
        <f>'📋 Báo Cáo 49 Ngày'!M182</f>
        <v/>
      </c>
      <c r="G72" s="5">
        <f>IF(COUNTIF('📋 Báo Cáo 49 Ngày'!H182:N182, "&lt;&gt;")&gt;0, "🖼️ Có kèm ảnh", "—")</f>
        <v/>
      </c>
      <c r="H72" s="7">
        <f>'📋 Báo Cáo 49 Ngày'!O182</f>
        <v/>
      </c>
      <c r="I72" s="7">
        <f>'📋 Báo Cáo 49 Ngày'!P182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Ngày'!G183</f>
        <v/>
      </c>
      <c r="D73" s="18">
        <f>'📋 Báo Cáo 49 Ngày'!I183</f>
        <v/>
      </c>
      <c r="E73" s="18">
        <f>'📋 Báo Cáo 49 Ngày'!K183</f>
        <v/>
      </c>
      <c r="F73" s="18">
        <f>'📋 Báo Cáo 49 Ngày'!M183</f>
        <v/>
      </c>
      <c r="G73" s="5">
        <f>IF(COUNTIF('📋 Báo Cáo 49 Ngày'!H183:N183, "&lt;&gt;")&gt;0, "🖼️ Có kèm ảnh", "—")</f>
        <v/>
      </c>
      <c r="H73" s="7">
        <f>'📋 Báo Cáo 49 Ngày'!O183</f>
        <v/>
      </c>
      <c r="I73" s="7">
        <f>'📋 Báo Cáo 49 Ngày'!P183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Ngày'!G184</f>
        <v/>
      </c>
      <c r="D74" s="18">
        <f>'📋 Báo Cáo 49 Ngày'!I184</f>
        <v/>
      </c>
      <c r="E74" s="18">
        <f>'📋 Báo Cáo 49 Ngày'!K184</f>
        <v/>
      </c>
      <c r="F74" s="18">
        <f>'📋 Báo Cáo 49 Ngày'!M184</f>
        <v/>
      </c>
      <c r="G74" s="5">
        <f>IF(COUNTIF('📋 Báo Cáo 49 Ngày'!H184:N184, "&lt;&gt;")&gt;0, "🖼️ Có kèm ảnh", "—")</f>
        <v/>
      </c>
      <c r="H74" s="7">
        <f>'📋 Báo Cáo 49 Ngày'!O184</f>
        <v/>
      </c>
      <c r="I74" s="7">
        <f>'📋 Báo Cáo 49 Ngày'!P184</f>
        <v/>
      </c>
      <c r="J74" s="18" t="inlineStr"/>
    </row>
    <row r="76">
      <c r="A76" s="20" t="inlineStr">
        <is>
          <t>📍 THỨ 2 (28/09/2026) - NGÀY 21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Ngày'!G185</f>
        <v/>
      </c>
      <c r="D78" s="18">
        <f>'📋 Báo Cáo 49 Ngày'!I185</f>
        <v/>
      </c>
      <c r="E78" s="18">
        <f>'📋 Báo Cáo 49 Ngày'!K185</f>
        <v/>
      </c>
      <c r="F78" s="18">
        <f>'📋 Báo Cáo 49 Ngày'!M185</f>
        <v/>
      </c>
      <c r="G78" s="5">
        <f>IF(COUNTIF('📋 Báo Cáo 49 Ngày'!H185:N185, "&lt;&gt;")&gt;0, "🖼️ Có kèm ảnh", "—")</f>
        <v/>
      </c>
      <c r="H78" s="7">
        <f>'📋 Báo Cáo 49 Ngày'!O185</f>
        <v/>
      </c>
      <c r="I78" s="7">
        <f>'📋 Báo Cáo 49 Ngày'!P185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Ngày'!G186</f>
        <v/>
      </c>
      <c r="D79" s="18">
        <f>'📋 Báo Cáo 49 Ngày'!I186</f>
        <v/>
      </c>
      <c r="E79" s="18">
        <f>'📋 Báo Cáo 49 Ngày'!K186</f>
        <v/>
      </c>
      <c r="F79" s="18">
        <f>'📋 Báo Cáo 49 Ngày'!M186</f>
        <v/>
      </c>
      <c r="G79" s="5">
        <f>IF(COUNTIF('📋 Báo Cáo 49 Ngày'!H186:N186, "&lt;&gt;")&gt;0, "🖼️ Có kèm ảnh", "—")</f>
        <v/>
      </c>
      <c r="H79" s="7">
        <f>'📋 Báo Cáo 49 Ngày'!O186</f>
        <v/>
      </c>
      <c r="I79" s="7">
        <f>'📋 Báo Cáo 49 Ngày'!P186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Ngày'!G187</f>
        <v/>
      </c>
      <c r="D80" s="18">
        <f>'📋 Báo Cáo 49 Ngày'!I187</f>
        <v/>
      </c>
      <c r="E80" s="18">
        <f>'📋 Báo Cáo 49 Ngày'!K187</f>
        <v/>
      </c>
      <c r="F80" s="18">
        <f>'📋 Báo Cáo 49 Ngày'!M187</f>
        <v/>
      </c>
      <c r="G80" s="5">
        <f>IF(COUNTIF('📋 Báo Cáo 49 Ngày'!H187:N187, "&lt;&gt;")&gt;0, "🖼️ Có kèm ảnh", "—")</f>
        <v/>
      </c>
      <c r="H80" s="7">
        <f>'📋 Báo Cáo 49 Ngày'!O187</f>
        <v/>
      </c>
      <c r="I80" s="7">
        <f>'📋 Báo Cáo 49 Ngày'!P187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Ngày'!G188</f>
        <v/>
      </c>
      <c r="D81" s="18">
        <f>'📋 Báo Cáo 49 Ngày'!I188</f>
        <v/>
      </c>
      <c r="E81" s="18">
        <f>'📋 Báo Cáo 49 Ngày'!K188</f>
        <v/>
      </c>
      <c r="F81" s="18">
        <f>'📋 Báo Cáo 49 Ngày'!M188</f>
        <v/>
      </c>
      <c r="G81" s="5">
        <f>IF(COUNTIF('📋 Báo Cáo 49 Ngày'!H188:N188, "&lt;&gt;")&gt;0, "🖼️ Có kèm ảnh", "—")</f>
        <v/>
      </c>
      <c r="H81" s="7">
        <f>'📋 Báo Cáo 49 Ngày'!O188</f>
        <v/>
      </c>
      <c r="I81" s="7">
        <f>'📋 Báo Cáo 49 Ngày'!P188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Ngày'!G189</f>
        <v/>
      </c>
      <c r="D82" s="18">
        <f>'📋 Báo Cáo 49 Ngày'!I189</f>
        <v/>
      </c>
      <c r="E82" s="18">
        <f>'📋 Báo Cáo 49 Ngày'!K189</f>
        <v/>
      </c>
      <c r="F82" s="18">
        <f>'📋 Báo Cáo 49 Ngày'!M189</f>
        <v/>
      </c>
      <c r="G82" s="5">
        <f>IF(COUNTIF('📋 Báo Cáo 49 Ngày'!H189:N189, "&lt;&gt;")&gt;0, "🖼️ Có kèm ảnh", "—")</f>
        <v/>
      </c>
      <c r="H82" s="7">
        <f>'📋 Báo Cáo 49 Ngày'!O189</f>
        <v/>
      </c>
      <c r="I82" s="7">
        <f>'📋 Báo Cáo 49 Ngày'!P189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Ngày'!G190</f>
        <v/>
      </c>
      <c r="D83" s="18">
        <f>'📋 Báo Cáo 49 Ngày'!I190</f>
        <v/>
      </c>
      <c r="E83" s="18">
        <f>'📋 Báo Cáo 49 Ngày'!K190</f>
        <v/>
      </c>
      <c r="F83" s="18">
        <f>'📋 Báo Cáo 49 Ngày'!M190</f>
        <v/>
      </c>
      <c r="G83" s="5">
        <f>IF(COUNTIF('📋 Báo Cáo 49 Ngày'!H190:N190, "&lt;&gt;")&gt;0, "🖼️ Có kèm ảnh", "—")</f>
        <v/>
      </c>
      <c r="H83" s="7">
        <f>'📋 Báo Cáo 49 Ngày'!O190</f>
        <v/>
      </c>
      <c r="I83" s="7">
        <f>'📋 Báo Cáo 49 Ngày'!P190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Ngày'!G191</f>
        <v/>
      </c>
      <c r="D84" s="18">
        <f>'📋 Báo Cáo 49 Ngày'!I191</f>
        <v/>
      </c>
      <c r="E84" s="18">
        <f>'📋 Báo Cáo 49 Ngày'!K191</f>
        <v/>
      </c>
      <c r="F84" s="18">
        <f>'📋 Báo Cáo 49 Ngày'!M191</f>
        <v/>
      </c>
      <c r="G84" s="5">
        <f>IF(COUNTIF('📋 Báo Cáo 49 Ngày'!H191:N191, "&lt;&gt;")&gt;0, "🖼️ Có kèm ảnh", "—")</f>
        <v/>
      </c>
      <c r="H84" s="7">
        <f>'📋 Báo Cáo 49 Ngày'!O191</f>
        <v/>
      </c>
      <c r="I84" s="7">
        <f>'📋 Báo Cáo 49 Ngày'!P191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Ngày'!G192</f>
        <v/>
      </c>
      <c r="D85" s="18">
        <f>'📋 Báo Cáo 49 Ngày'!I192</f>
        <v/>
      </c>
      <c r="E85" s="18">
        <f>'📋 Báo Cáo 49 Ngày'!K192</f>
        <v/>
      </c>
      <c r="F85" s="18">
        <f>'📋 Báo Cáo 49 Ngày'!M192</f>
        <v/>
      </c>
      <c r="G85" s="5">
        <f>IF(COUNTIF('📋 Báo Cáo 49 Ngày'!H192:N192, "&lt;&gt;")&gt;0, "🖼️ Có kèm ảnh", "—")</f>
        <v/>
      </c>
      <c r="H85" s="7">
        <f>'📋 Báo Cáo 49 Ngày'!O192</f>
        <v/>
      </c>
      <c r="I85" s="7">
        <f>'📋 Báo Cáo 49 Ngày'!P192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Ngày'!G193</f>
        <v/>
      </c>
      <c r="D86" s="18">
        <f>'📋 Báo Cáo 49 Ngày'!I193</f>
        <v/>
      </c>
      <c r="E86" s="18">
        <f>'📋 Báo Cáo 49 Ngày'!K193</f>
        <v/>
      </c>
      <c r="F86" s="18">
        <f>'📋 Báo Cáo 49 Ngày'!M193</f>
        <v/>
      </c>
      <c r="G86" s="5">
        <f>IF(COUNTIF('📋 Báo Cáo 49 Ngày'!H193:N193, "&lt;&gt;")&gt;0, "🖼️ Có kèm ảnh", "—")</f>
        <v/>
      </c>
      <c r="H86" s="7">
        <f>'📋 Báo Cáo 49 Ngày'!O193</f>
        <v/>
      </c>
      <c r="I86" s="7">
        <f>'📋 Báo Cáo 49 Ngày'!P193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4 (29/09 - 05/10/2026) - BÁO CÁO 9 THÀNH VIÊN</t>
        </is>
      </c>
    </row>
    <row r="2"/>
    <row r="4">
      <c r="A4" s="20" t="inlineStr">
        <is>
          <t>📍 THỨ 3 (29/09/2026) - NGÀY 22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Ngày'!G194</f>
        <v/>
      </c>
      <c r="D6" s="18">
        <f>'📋 Báo Cáo 49 Ngày'!I194</f>
        <v/>
      </c>
      <c r="E6" s="18">
        <f>'📋 Báo Cáo 49 Ngày'!K194</f>
        <v/>
      </c>
      <c r="F6" s="18">
        <f>'📋 Báo Cáo 49 Ngày'!M194</f>
        <v/>
      </c>
      <c r="G6" s="5">
        <f>IF(COUNTIF('📋 Báo Cáo 49 Ngày'!H194:N194, "&lt;&gt;")&gt;0, "🖼️ Có kèm ảnh", "—")</f>
        <v/>
      </c>
      <c r="H6" s="7">
        <f>'📋 Báo Cáo 49 Ngày'!O194</f>
        <v/>
      </c>
      <c r="I6" s="7">
        <f>'📋 Báo Cáo 49 Ngày'!P194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Ngày'!G195</f>
        <v/>
      </c>
      <c r="D7" s="18">
        <f>'📋 Báo Cáo 49 Ngày'!I195</f>
        <v/>
      </c>
      <c r="E7" s="18">
        <f>'📋 Báo Cáo 49 Ngày'!K195</f>
        <v/>
      </c>
      <c r="F7" s="18">
        <f>'📋 Báo Cáo 49 Ngày'!M195</f>
        <v/>
      </c>
      <c r="G7" s="5">
        <f>IF(COUNTIF('📋 Báo Cáo 49 Ngày'!H195:N195, "&lt;&gt;")&gt;0, "🖼️ Có kèm ảnh", "—")</f>
        <v/>
      </c>
      <c r="H7" s="7">
        <f>'📋 Báo Cáo 49 Ngày'!O195</f>
        <v/>
      </c>
      <c r="I7" s="7">
        <f>'📋 Báo Cáo 49 Ngày'!P195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Ngày'!G196</f>
        <v/>
      </c>
      <c r="D8" s="18">
        <f>'📋 Báo Cáo 49 Ngày'!I196</f>
        <v/>
      </c>
      <c r="E8" s="18">
        <f>'📋 Báo Cáo 49 Ngày'!K196</f>
        <v/>
      </c>
      <c r="F8" s="18">
        <f>'📋 Báo Cáo 49 Ngày'!M196</f>
        <v/>
      </c>
      <c r="G8" s="5">
        <f>IF(COUNTIF('📋 Báo Cáo 49 Ngày'!H196:N196, "&lt;&gt;")&gt;0, "🖼️ Có kèm ảnh", "—")</f>
        <v/>
      </c>
      <c r="H8" s="7">
        <f>'📋 Báo Cáo 49 Ngày'!O196</f>
        <v/>
      </c>
      <c r="I8" s="7">
        <f>'📋 Báo Cáo 49 Ngày'!P196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Ngày'!G197</f>
        <v/>
      </c>
      <c r="D9" s="18">
        <f>'📋 Báo Cáo 49 Ngày'!I197</f>
        <v/>
      </c>
      <c r="E9" s="18">
        <f>'📋 Báo Cáo 49 Ngày'!K197</f>
        <v/>
      </c>
      <c r="F9" s="18">
        <f>'📋 Báo Cáo 49 Ngày'!M197</f>
        <v/>
      </c>
      <c r="G9" s="5">
        <f>IF(COUNTIF('📋 Báo Cáo 49 Ngày'!H197:N197, "&lt;&gt;")&gt;0, "🖼️ Có kèm ảnh", "—")</f>
        <v/>
      </c>
      <c r="H9" s="7">
        <f>'📋 Báo Cáo 49 Ngày'!O197</f>
        <v/>
      </c>
      <c r="I9" s="7">
        <f>'📋 Báo Cáo 49 Ngày'!P197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Ngày'!G198</f>
        <v/>
      </c>
      <c r="D10" s="18">
        <f>'📋 Báo Cáo 49 Ngày'!I198</f>
        <v/>
      </c>
      <c r="E10" s="18">
        <f>'📋 Báo Cáo 49 Ngày'!K198</f>
        <v/>
      </c>
      <c r="F10" s="18">
        <f>'📋 Báo Cáo 49 Ngày'!M198</f>
        <v/>
      </c>
      <c r="G10" s="5">
        <f>IF(COUNTIF('📋 Báo Cáo 49 Ngày'!H198:N198, "&lt;&gt;")&gt;0, "🖼️ Có kèm ảnh", "—")</f>
        <v/>
      </c>
      <c r="H10" s="7">
        <f>'📋 Báo Cáo 49 Ngày'!O198</f>
        <v/>
      </c>
      <c r="I10" s="7">
        <f>'📋 Báo Cáo 49 Ngày'!P198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Ngày'!G199</f>
        <v/>
      </c>
      <c r="D11" s="18">
        <f>'📋 Báo Cáo 49 Ngày'!I199</f>
        <v/>
      </c>
      <c r="E11" s="18">
        <f>'📋 Báo Cáo 49 Ngày'!K199</f>
        <v/>
      </c>
      <c r="F11" s="18">
        <f>'📋 Báo Cáo 49 Ngày'!M199</f>
        <v/>
      </c>
      <c r="G11" s="5">
        <f>IF(COUNTIF('📋 Báo Cáo 49 Ngày'!H199:N199, "&lt;&gt;")&gt;0, "🖼️ Có kèm ảnh", "—")</f>
        <v/>
      </c>
      <c r="H11" s="7">
        <f>'📋 Báo Cáo 49 Ngày'!O199</f>
        <v/>
      </c>
      <c r="I11" s="7">
        <f>'📋 Báo Cáo 49 Ngày'!P199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Ngày'!G200</f>
        <v/>
      </c>
      <c r="D12" s="18">
        <f>'📋 Báo Cáo 49 Ngày'!I200</f>
        <v/>
      </c>
      <c r="E12" s="18">
        <f>'📋 Báo Cáo 49 Ngày'!K200</f>
        <v/>
      </c>
      <c r="F12" s="18">
        <f>'📋 Báo Cáo 49 Ngày'!M200</f>
        <v/>
      </c>
      <c r="G12" s="5">
        <f>IF(COUNTIF('📋 Báo Cáo 49 Ngày'!H200:N200, "&lt;&gt;")&gt;0, "🖼️ Có kèm ảnh", "—")</f>
        <v/>
      </c>
      <c r="H12" s="7">
        <f>'📋 Báo Cáo 49 Ngày'!O200</f>
        <v/>
      </c>
      <c r="I12" s="7">
        <f>'📋 Báo Cáo 49 Ngày'!P200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Ngày'!G201</f>
        <v/>
      </c>
      <c r="D13" s="18">
        <f>'📋 Báo Cáo 49 Ngày'!I201</f>
        <v/>
      </c>
      <c r="E13" s="18">
        <f>'📋 Báo Cáo 49 Ngày'!K201</f>
        <v/>
      </c>
      <c r="F13" s="18">
        <f>'📋 Báo Cáo 49 Ngày'!M201</f>
        <v/>
      </c>
      <c r="G13" s="5">
        <f>IF(COUNTIF('📋 Báo Cáo 49 Ngày'!H201:N201, "&lt;&gt;")&gt;0, "🖼️ Có kèm ảnh", "—")</f>
        <v/>
      </c>
      <c r="H13" s="7">
        <f>'📋 Báo Cáo 49 Ngày'!O201</f>
        <v/>
      </c>
      <c r="I13" s="7">
        <f>'📋 Báo Cáo 49 Ngày'!P201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Ngày'!G202</f>
        <v/>
      </c>
      <c r="D14" s="18">
        <f>'📋 Báo Cáo 49 Ngày'!I202</f>
        <v/>
      </c>
      <c r="E14" s="18">
        <f>'📋 Báo Cáo 49 Ngày'!K202</f>
        <v/>
      </c>
      <c r="F14" s="18">
        <f>'📋 Báo Cáo 49 Ngày'!M202</f>
        <v/>
      </c>
      <c r="G14" s="5">
        <f>IF(COUNTIF('📋 Báo Cáo 49 Ngày'!H202:N202, "&lt;&gt;")&gt;0, "🖼️ Có kèm ảnh", "—")</f>
        <v/>
      </c>
      <c r="H14" s="7">
        <f>'📋 Báo Cáo 49 Ngày'!O202</f>
        <v/>
      </c>
      <c r="I14" s="7">
        <f>'📋 Báo Cáo 49 Ngày'!P202</f>
        <v/>
      </c>
      <c r="J14" s="18" t="inlineStr"/>
    </row>
    <row r="16">
      <c r="A16" s="20" t="inlineStr">
        <is>
          <t>📍 THỨ 4 (30/09/2026) - NGÀY 23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Ngày'!G203</f>
        <v/>
      </c>
      <c r="D18" s="18">
        <f>'📋 Báo Cáo 49 Ngày'!I203</f>
        <v/>
      </c>
      <c r="E18" s="18">
        <f>'📋 Báo Cáo 49 Ngày'!K203</f>
        <v/>
      </c>
      <c r="F18" s="18">
        <f>'📋 Báo Cáo 49 Ngày'!M203</f>
        <v/>
      </c>
      <c r="G18" s="5">
        <f>IF(COUNTIF('📋 Báo Cáo 49 Ngày'!H203:N203, "&lt;&gt;")&gt;0, "🖼️ Có kèm ảnh", "—")</f>
        <v/>
      </c>
      <c r="H18" s="7">
        <f>'📋 Báo Cáo 49 Ngày'!O203</f>
        <v/>
      </c>
      <c r="I18" s="7">
        <f>'📋 Báo Cáo 49 Ngày'!P203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Ngày'!G204</f>
        <v/>
      </c>
      <c r="D19" s="18">
        <f>'📋 Báo Cáo 49 Ngày'!I204</f>
        <v/>
      </c>
      <c r="E19" s="18">
        <f>'📋 Báo Cáo 49 Ngày'!K204</f>
        <v/>
      </c>
      <c r="F19" s="18">
        <f>'📋 Báo Cáo 49 Ngày'!M204</f>
        <v/>
      </c>
      <c r="G19" s="5">
        <f>IF(COUNTIF('📋 Báo Cáo 49 Ngày'!H204:N204, "&lt;&gt;")&gt;0, "🖼️ Có kèm ảnh", "—")</f>
        <v/>
      </c>
      <c r="H19" s="7">
        <f>'📋 Báo Cáo 49 Ngày'!O204</f>
        <v/>
      </c>
      <c r="I19" s="7">
        <f>'📋 Báo Cáo 49 Ngày'!P204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Ngày'!G205</f>
        <v/>
      </c>
      <c r="D20" s="18">
        <f>'📋 Báo Cáo 49 Ngày'!I205</f>
        <v/>
      </c>
      <c r="E20" s="18">
        <f>'📋 Báo Cáo 49 Ngày'!K205</f>
        <v/>
      </c>
      <c r="F20" s="18">
        <f>'📋 Báo Cáo 49 Ngày'!M205</f>
        <v/>
      </c>
      <c r="G20" s="5">
        <f>IF(COUNTIF('📋 Báo Cáo 49 Ngày'!H205:N205, "&lt;&gt;")&gt;0, "🖼️ Có kèm ảnh", "—")</f>
        <v/>
      </c>
      <c r="H20" s="7">
        <f>'📋 Báo Cáo 49 Ngày'!O205</f>
        <v/>
      </c>
      <c r="I20" s="7">
        <f>'📋 Báo Cáo 49 Ngày'!P205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Ngày'!G206</f>
        <v/>
      </c>
      <c r="D21" s="18">
        <f>'📋 Báo Cáo 49 Ngày'!I206</f>
        <v/>
      </c>
      <c r="E21" s="18">
        <f>'📋 Báo Cáo 49 Ngày'!K206</f>
        <v/>
      </c>
      <c r="F21" s="18">
        <f>'📋 Báo Cáo 49 Ngày'!M206</f>
        <v/>
      </c>
      <c r="G21" s="5">
        <f>IF(COUNTIF('📋 Báo Cáo 49 Ngày'!H206:N206, "&lt;&gt;")&gt;0, "🖼️ Có kèm ảnh", "—")</f>
        <v/>
      </c>
      <c r="H21" s="7">
        <f>'📋 Báo Cáo 49 Ngày'!O206</f>
        <v/>
      </c>
      <c r="I21" s="7">
        <f>'📋 Báo Cáo 49 Ngày'!P206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Ngày'!G207</f>
        <v/>
      </c>
      <c r="D22" s="18">
        <f>'📋 Báo Cáo 49 Ngày'!I207</f>
        <v/>
      </c>
      <c r="E22" s="18">
        <f>'📋 Báo Cáo 49 Ngày'!K207</f>
        <v/>
      </c>
      <c r="F22" s="18">
        <f>'📋 Báo Cáo 49 Ngày'!M207</f>
        <v/>
      </c>
      <c r="G22" s="5">
        <f>IF(COUNTIF('📋 Báo Cáo 49 Ngày'!H207:N207, "&lt;&gt;")&gt;0, "🖼️ Có kèm ảnh", "—")</f>
        <v/>
      </c>
      <c r="H22" s="7">
        <f>'📋 Báo Cáo 49 Ngày'!O207</f>
        <v/>
      </c>
      <c r="I22" s="7">
        <f>'📋 Báo Cáo 49 Ngày'!P207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Ngày'!G208</f>
        <v/>
      </c>
      <c r="D23" s="18">
        <f>'📋 Báo Cáo 49 Ngày'!I208</f>
        <v/>
      </c>
      <c r="E23" s="18">
        <f>'📋 Báo Cáo 49 Ngày'!K208</f>
        <v/>
      </c>
      <c r="F23" s="18">
        <f>'📋 Báo Cáo 49 Ngày'!M208</f>
        <v/>
      </c>
      <c r="G23" s="5">
        <f>IF(COUNTIF('📋 Báo Cáo 49 Ngày'!H208:N208, "&lt;&gt;")&gt;0, "🖼️ Có kèm ảnh", "—")</f>
        <v/>
      </c>
      <c r="H23" s="7">
        <f>'📋 Báo Cáo 49 Ngày'!O208</f>
        <v/>
      </c>
      <c r="I23" s="7">
        <f>'📋 Báo Cáo 49 Ngày'!P208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Ngày'!G209</f>
        <v/>
      </c>
      <c r="D24" s="18">
        <f>'📋 Báo Cáo 49 Ngày'!I209</f>
        <v/>
      </c>
      <c r="E24" s="18">
        <f>'📋 Báo Cáo 49 Ngày'!K209</f>
        <v/>
      </c>
      <c r="F24" s="18">
        <f>'📋 Báo Cáo 49 Ngày'!M209</f>
        <v/>
      </c>
      <c r="G24" s="5">
        <f>IF(COUNTIF('📋 Báo Cáo 49 Ngày'!H209:N209, "&lt;&gt;")&gt;0, "🖼️ Có kèm ảnh", "—")</f>
        <v/>
      </c>
      <c r="H24" s="7">
        <f>'📋 Báo Cáo 49 Ngày'!O209</f>
        <v/>
      </c>
      <c r="I24" s="7">
        <f>'📋 Báo Cáo 49 Ngày'!P209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Ngày'!G210</f>
        <v/>
      </c>
      <c r="D25" s="18">
        <f>'📋 Báo Cáo 49 Ngày'!I210</f>
        <v/>
      </c>
      <c r="E25" s="18">
        <f>'📋 Báo Cáo 49 Ngày'!K210</f>
        <v/>
      </c>
      <c r="F25" s="18">
        <f>'📋 Báo Cáo 49 Ngày'!M210</f>
        <v/>
      </c>
      <c r="G25" s="5">
        <f>IF(COUNTIF('📋 Báo Cáo 49 Ngày'!H210:N210, "&lt;&gt;")&gt;0, "🖼️ Có kèm ảnh", "—")</f>
        <v/>
      </c>
      <c r="H25" s="7">
        <f>'📋 Báo Cáo 49 Ngày'!O210</f>
        <v/>
      </c>
      <c r="I25" s="7">
        <f>'📋 Báo Cáo 49 Ngày'!P210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Ngày'!G211</f>
        <v/>
      </c>
      <c r="D26" s="18">
        <f>'📋 Báo Cáo 49 Ngày'!I211</f>
        <v/>
      </c>
      <c r="E26" s="18">
        <f>'📋 Báo Cáo 49 Ngày'!K211</f>
        <v/>
      </c>
      <c r="F26" s="18">
        <f>'📋 Báo Cáo 49 Ngày'!M211</f>
        <v/>
      </c>
      <c r="G26" s="5">
        <f>IF(COUNTIF('📋 Báo Cáo 49 Ngày'!H211:N211, "&lt;&gt;")&gt;0, "🖼️ Có kèm ảnh", "—")</f>
        <v/>
      </c>
      <c r="H26" s="7">
        <f>'📋 Báo Cáo 49 Ngày'!O211</f>
        <v/>
      </c>
      <c r="I26" s="7">
        <f>'📋 Báo Cáo 49 Ngày'!P211</f>
        <v/>
      </c>
      <c r="J26" s="18" t="inlineStr"/>
    </row>
    <row r="28">
      <c r="A28" s="20" t="inlineStr">
        <is>
          <t>📍 THỨ 5 (01/10/2026) - NGÀY 24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Ngày'!G212</f>
        <v/>
      </c>
      <c r="D30" s="18">
        <f>'📋 Báo Cáo 49 Ngày'!I212</f>
        <v/>
      </c>
      <c r="E30" s="18">
        <f>'📋 Báo Cáo 49 Ngày'!K212</f>
        <v/>
      </c>
      <c r="F30" s="18">
        <f>'📋 Báo Cáo 49 Ngày'!M212</f>
        <v/>
      </c>
      <c r="G30" s="5">
        <f>IF(COUNTIF('📋 Báo Cáo 49 Ngày'!H212:N212, "&lt;&gt;")&gt;0, "🖼️ Có kèm ảnh", "—")</f>
        <v/>
      </c>
      <c r="H30" s="7">
        <f>'📋 Báo Cáo 49 Ngày'!O212</f>
        <v/>
      </c>
      <c r="I30" s="7">
        <f>'📋 Báo Cáo 49 Ngày'!P212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Ngày'!G213</f>
        <v/>
      </c>
      <c r="D31" s="18">
        <f>'📋 Báo Cáo 49 Ngày'!I213</f>
        <v/>
      </c>
      <c r="E31" s="18">
        <f>'📋 Báo Cáo 49 Ngày'!K213</f>
        <v/>
      </c>
      <c r="F31" s="18">
        <f>'📋 Báo Cáo 49 Ngày'!M213</f>
        <v/>
      </c>
      <c r="G31" s="5">
        <f>IF(COUNTIF('📋 Báo Cáo 49 Ngày'!H213:N213, "&lt;&gt;")&gt;0, "🖼️ Có kèm ảnh", "—")</f>
        <v/>
      </c>
      <c r="H31" s="7">
        <f>'📋 Báo Cáo 49 Ngày'!O213</f>
        <v/>
      </c>
      <c r="I31" s="7">
        <f>'📋 Báo Cáo 49 Ngày'!P213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Ngày'!G214</f>
        <v/>
      </c>
      <c r="D32" s="18">
        <f>'📋 Báo Cáo 49 Ngày'!I214</f>
        <v/>
      </c>
      <c r="E32" s="18">
        <f>'📋 Báo Cáo 49 Ngày'!K214</f>
        <v/>
      </c>
      <c r="F32" s="18">
        <f>'📋 Báo Cáo 49 Ngày'!M214</f>
        <v/>
      </c>
      <c r="G32" s="5">
        <f>IF(COUNTIF('📋 Báo Cáo 49 Ngày'!H214:N214, "&lt;&gt;")&gt;0, "🖼️ Có kèm ảnh", "—")</f>
        <v/>
      </c>
      <c r="H32" s="7">
        <f>'📋 Báo Cáo 49 Ngày'!O214</f>
        <v/>
      </c>
      <c r="I32" s="7">
        <f>'📋 Báo Cáo 49 Ngày'!P214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Ngày'!G215</f>
        <v/>
      </c>
      <c r="D33" s="18">
        <f>'📋 Báo Cáo 49 Ngày'!I215</f>
        <v/>
      </c>
      <c r="E33" s="18">
        <f>'📋 Báo Cáo 49 Ngày'!K215</f>
        <v/>
      </c>
      <c r="F33" s="18">
        <f>'📋 Báo Cáo 49 Ngày'!M215</f>
        <v/>
      </c>
      <c r="G33" s="5">
        <f>IF(COUNTIF('📋 Báo Cáo 49 Ngày'!H215:N215, "&lt;&gt;")&gt;0, "🖼️ Có kèm ảnh", "—")</f>
        <v/>
      </c>
      <c r="H33" s="7">
        <f>'📋 Báo Cáo 49 Ngày'!O215</f>
        <v/>
      </c>
      <c r="I33" s="7">
        <f>'📋 Báo Cáo 49 Ngày'!P215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Ngày'!G216</f>
        <v/>
      </c>
      <c r="D34" s="18">
        <f>'📋 Báo Cáo 49 Ngày'!I216</f>
        <v/>
      </c>
      <c r="E34" s="18">
        <f>'📋 Báo Cáo 49 Ngày'!K216</f>
        <v/>
      </c>
      <c r="F34" s="18">
        <f>'📋 Báo Cáo 49 Ngày'!M216</f>
        <v/>
      </c>
      <c r="G34" s="5">
        <f>IF(COUNTIF('📋 Báo Cáo 49 Ngày'!H216:N216, "&lt;&gt;")&gt;0, "🖼️ Có kèm ảnh", "—")</f>
        <v/>
      </c>
      <c r="H34" s="7">
        <f>'📋 Báo Cáo 49 Ngày'!O216</f>
        <v/>
      </c>
      <c r="I34" s="7">
        <f>'📋 Báo Cáo 49 Ngày'!P216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Ngày'!G217</f>
        <v/>
      </c>
      <c r="D35" s="18">
        <f>'📋 Báo Cáo 49 Ngày'!I217</f>
        <v/>
      </c>
      <c r="E35" s="18">
        <f>'📋 Báo Cáo 49 Ngày'!K217</f>
        <v/>
      </c>
      <c r="F35" s="18">
        <f>'📋 Báo Cáo 49 Ngày'!M217</f>
        <v/>
      </c>
      <c r="G35" s="5">
        <f>IF(COUNTIF('📋 Báo Cáo 49 Ngày'!H217:N217, "&lt;&gt;")&gt;0, "🖼️ Có kèm ảnh", "—")</f>
        <v/>
      </c>
      <c r="H35" s="7">
        <f>'📋 Báo Cáo 49 Ngày'!O217</f>
        <v/>
      </c>
      <c r="I35" s="7">
        <f>'📋 Báo Cáo 49 Ngày'!P217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Ngày'!G218</f>
        <v/>
      </c>
      <c r="D36" s="18">
        <f>'📋 Báo Cáo 49 Ngày'!I218</f>
        <v/>
      </c>
      <c r="E36" s="18">
        <f>'📋 Báo Cáo 49 Ngày'!K218</f>
        <v/>
      </c>
      <c r="F36" s="18">
        <f>'📋 Báo Cáo 49 Ngày'!M218</f>
        <v/>
      </c>
      <c r="G36" s="5">
        <f>IF(COUNTIF('📋 Báo Cáo 49 Ngày'!H218:N218, "&lt;&gt;")&gt;0, "🖼️ Có kèm ảnh", "—")</f>
        <v/>
      </c>
      <c r="H36" s="7">
        <f>'📋 Báo Cáo 49 Ngày'!O218</f>
        <v/>
      </c>
      <c r="I36" s="7">
        <f>'📋 Báo Cáo 49 Ngày'!P218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Ngày'!G219</f>
        <v/>
      </c>
      <c r="D37" s="18">
        <f>'📋 Báo Cáo 49 Ngày'!I219</f>
        <v/>
      </c>
      <c r="E37" s="18">
        <f>'📋 Báo Cáo 49 Ngày'!K219</f>
        <v/>
      </c>
      <c r="F37" s="18">
        <f>'📋 Báo Cáo 49 Ngày'!M219</f>
        <v/>
      </c>
      <c r="G37" s="5">
        <f>IF(COUNTIF('📋 Báo Cáo 49 Ngày'!H219:N219, "&lt;&gt;")&gt;0, "🖼️ Có kèm ảnh", "—")</f>
        <v/>
      </c>
      <c r="H37" s="7">
        <f>'📋 Báo Cáo 49 Ngày'!O219</f>
        <v/>
      </c>
      <c r="I37" s="7">
        <f>'📋 Báo Cáo 49 Ngày'!P219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Ngày'!G220</f>
        <v/>
      </c>
      <c r="D38" s="18">
        <f>'📋 Báo Cáo 49 Ngày'!I220</f>
        <v/>
      </c>
      <c r="E38" s="18">
        <f>'📋 Báo Cáo 49 Ngày'!K220</f>
        <v/>
      </c>
      <c r="F38" s="18">
        <f>'📋 Báo Cáo 49 Ngày'!M220</f>
        <v/>
      </c>
      <c r="G38" s="5">
        <f>IF(COUNTIF('📋 Báo Cáo 49 Ngày'!H220:N220, "&lt;&gt;")&gt;0, "🖼️ Có kèm ảnh", "—")</f>
        <v/>
      </c>
      <c r="H38" s="7">
        <f>'📋 Báo Cáo 49 Ngày'!O220</f>
        <v/>
      </c>
      <c r="I38" s="7">
        <f>'📋 Báo Cáo 49 Ngày'!P220</f>
        <v/>
      </c>
      <c r="J38" s="18" t="inlineStr"/>
    </row>
    <row r="40">
      <c r="A40" s="20" t="inlineStr">
        <is>
          <t>📍 THỨ 6 (02/10/2026) - NGÀY 25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Ngày'!G221</f>
        <v/>
      </c>
      <c r="D42" s="18">
        <f>'📋 Báo Cáo 49 Ngày'!I221</f>
        <v/>
      </c>
      <c r="E42" s="18">
        <f>'📋 Báo Cáo 49 Ngày'!K221</f>
        <v/>
      </c>
      <c r="F42" s="18">
        <f>'📋 Báo Cáo 49 Ngày'!M221</f>
        <v/>
      </c>
      <c r="G42" s="5">
        <f>IF(COUNTIF('📋 Báo Cáo 49 Ngày'!H221:N221, "&lt;&gt;")&gt;0, "🖼️ Có kèm ảnh", "—")</f>
        <v/>
      </c>
      <c r="H42" s="7">
        <f>'📋 Báo Cáo 49 Ngày'!O221</f>
        <v/>
      </c>
      <c r="I42" s="7">
        <f>'📋 Báo Cáo 49 Ngày'!P221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Ngày'!G222</f>
        <v/>
      </c>
      <c r="D43" s="18">
        <f>'📋 Báo Cáo 49 Ngày'!I222</f>
        <v/>
      </c>
      <c r="E43" s="18">
        <f>'📋 Báo Cáo 49 Ngày'!K222</f>
        <v/>
      </c>
      <c r="F43" s="18">
        <f>'📋 Báo Cáo 49 Ngày'!M222</f>
        <v/>
      </c>
      <c r="G43" s="5">
        <f>IF(COUNTIF('📋 Báo Cáo 49 Ngày'!H222:N222, "&lt;&gt;")&gt;0, "🖼️ Có kèm ảnh", "—")</f>
        <v/>
      </c>
      <c r="H43" s="7">
        <f>'📋 Báo Cáo 49 Ngày'!O222</f>
        <v/>
      </c>
      <c r="I43" s="7">
        <f>'📋 Báo Cáo 49 Ngày'!P222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Ngày'!G223</f>
        <v/>
      </c>
      <c r="D44" s="18">
        <f>'📋 Báo Cáo 49 Ngày'!I223</f>
        <v/>
      </c>
      <c r="E44" s="18">
        <f>'📋 Báo Cáo 49 Ngày'!K223</f>
        <v/>
      </c>
      <c r="F44" s="18">
        <f>'📋 Báo Cáo 49 Ngày'!M223</f>
        <v/>
      </c>
      <c r="G44" s="5">
        <f>IF(COUNTIF('📋 Báo Cáo 49 Ngày'!H223:N223, "&lt;&gt;")&gt;0, "🖼️ Có kèm ảnh", "—")</f>
        <v/>
      </c>
      <c r="H44" s="7">
        <f>'📋 Báo Cáo 49 Ngày'!O223</f>
        <v/>
      </c>
      <c r="I44" s="7">
        <f>'📋 Báo Cáo 49 Ngày'!P223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Ngày'!G224</f>
        <v/>
      </c>
      <c r="D45" s="18">
        <f>'📋 Báo Cáo 49 Ngày'!I224</f>
        <v/>
      </c>
      <c r="E45" s="18">
        <f>'📋 Báo Cáo 49 Ngày'!K224</f>
        <v/>
      </c>
      <c r="F45" s="18">
        <f>'📋 Báo Cáo 49 Ngày'!M224</f>
        <v/>
      </c>
      <c r="G45" s="5">
        <f>IF(COUNTIF('📋 Báo Cáo 49 Ngày'!H224:N224, "&lt;&gt;")&gt;0, "🖼️ Có kèm ảnh", "—")</f>
        <v/>
      </c>
      <c r="H45" s="7">
        <f>'📋 Báo Cáo 49 Ngày'!O224</f>
        <v/>
      </c>
      <c r="I45" s="7">
        <f>'📋 Báo Cáo 49 Ngày'!P224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Ngày'!G225</f>
        <v/>
      </c>
      <c r="D46" s="18">
        <f>'📋 Báo Cáo 49 Ngày'!I225</f>
        <v/>
      </c>
      <c r="E46" s="18">
        <f>'📋 Báo Cáo 49 Ngày'!K225</f>
        <v/>
      </c>
      <c r="F46" s="18">
        <f>'📋 Báo Cáo 49 Ngày'!M225</f>
        <v/>
      </c>
      <c r="G46" s="5">
        <f>IF(COUNTIF('📋 Báo Cáo 49 Ngày'!H225:N225, "&lt;&gt;")&gt;0, "🖼️ Có kèm ảnh", "—")</f>
        <v/>
      </c>
      <c r="H46" s="7">
        <f>'📋 Báo Cáo 49 Ngày'!O225</f>
        <v/>
      </c>
      <c r="I46" s="7">
        <f>'📋 Báo Cáo 49 Ngày'!P225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Ngày'!G226</f>
        <v/>
      </c>
      <c r="D47" s="18">
        <f>'📋 Báo Cáo 49 Ngày'!I226</f>
        <v/>
      </c>
      <c r="E47" s="18">
        <f>'📋 Báo Cáo 49 Ngày'!K226</f>
        <v/>
      </c>
      <c r="F47" s="18">
        <f>'📋 Báo Cáo 49 Ngày'!M226</f>
        <v/>
      </c>
      <c r="G47" s="5">
        <f>IF(COUNTIF('📋 Báo Cáo 49 Ngày'!H226:N226, "&lt;&gt;")&gt;0, "🖼️ Có kèm ảnh", "—")</f>
        <v/>
      </c>
      <c r="H47" s="7">
        <f>'📋 Báo Cáo 49 Ngày'!O226</f>
        <v/>
      </c>
      <c r="I47" s="7">
        <f>'📋 Báo Cáo 49 Ngày'!P226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Ngày'!G227</f>
        <v/>
      </c>
      <c r="D48" s="18">
        <f>'📋 Báo Cáo 49 Ngày'!I227</f>
        <v/>
      </c>
      <c r="E48" s="18">
        <f>'📋 Báo Cáo 49 Ngày'!K227</f>
        <v/>
      </c>
      <c r="F48" s="18">
        <f>'📋 Báo Cáo 49 Ngày'!M227</f>
        <v/>
      </c>
      <c r="G48" s="5">
        <f>IF(COUNTIF('📋 Báo Cáo 49 Ngày'!H227:N227, "&lt;&gt;")&gt;0, "🖼️ Có kèm ảnh", "—")</f>
        <v/>
      </c>
      <c r="H48" s="7">
        <f>'📋 Báo Cáo 49 Ngày'!O227</f>
        <v/>
      </c>
      <c r="I48" s="7">
        <f>'📋 Báo Cáo 49 Ngày'!P227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Ngày'!G228</f>
        <v/>
      </c>
      <c r="D49" s="18">
        <f>'📋 Báo Cáo 49 Ngày'!I228</f>
        <v/>
      </c>
      <c r="E49" s="18">
        <f>'📋 Báo Cáo 49 Ngày'!K228</f>
        <v/>
      </c>
      <c r="F49" s="18">
        <f>'📋 Báo Cáo 49 Ngày'!M228</f>
        <v/>
      </c>
      <c r="G49" s="5">
        <f>IF(COUNTIF('📋 Báo Cáo 49 Ngày'!H228:N228, "&lt;&gt;")&gt;0, "🖼️ Có kèm ảnh", "—")</f>
        <v/>
      </c>
      <c r="H49" s="7">
        <f>'📋 Báo Cáo 49 Ngày'!O228</f>
        <v/>
      </c>
      <c r="I49" s="7">
        <f>'📋 Báo Cáo 49 Ngày'!P228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Ngày'!G229</f>
        <v/>
      </c>
      <c r="D50" s="18">
        <f>'📋 Báo Cáo 49 Ngày'!I229</f>
        <v/>
      </c>
      <c r="E50" s="18">
        <f>'📋 Báo Cáo 49 Ngày'!K229</f>
        <v/>
      </c>
      <c r="F50" s="18">
        <f>'📋 Báo Cáo 49 Ngày'!M229</f>
        <v/>
      </c>
      <c r="G50" s="5">
        <f>IF(COUNTIF('📋 Báo Cáo 49 Ngày'!H229:N229, "&lt;&gt;")&gt;0, "🖼️ Có kèm ảnh", "—")</f>
        <v/>
      </c>
      <c r="H50" s="7">
        <f>'📋 Báo Cáo 49 Ngày'!O229</f>
        <v/>
      </c>
      <c r="I50" s="7">
        <f>'📋 Báo Cáo 49 Ngày'!P229</f>
        <v/>
      </c>
      <c r="J50" s="18" t="inlineStr"/>
    </row>
    <row r="52">
      <c r="A52" s="20" t="inlineStr">
        <is>
          <t>📍 THỨ 7 (03/10/2026) - NGÀY 26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Ngày'!G230</f>
        <v/>
      </c>
      <c r="D54" s="18">
        <f>'📋 Báo Cáo 49 Ngày'!I230</f>
        <v/>
      </c>
      <c r="E54" s="18">
        <f>'📋 Báo Cáo 49 Ngày'!K230</f>
        <v/>
      </c>
      <c r="F54" s="18">
        <f>'📋 Báo Cáo 49 Ngày'!M230</f>
        <v/>
      </c>
      <c r="G54" s="5">
        <f>IF(COUNTIF('📋 Báo Cáo 49 Ngày'!H230:N230, "&lt;&gt;")&gt;0, "🖼️ Có kèm ảnh", "—")</f>
        <v/>
      </c>
      <c r="H54" s="7">
        <f>'📋 Báo Cáo 49 Ngày'!O230</f>
        <v/>
      </c>
      <c r="I54" s="7">
        <f>'📋 Báo Cáo 49 Ngày'!P230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Ngày'!G231</f>
        <v/>
      </c>
      <c r="D55" s="18">
        <f>'📋 Báo Cáo 49 Ngày'!I231</f>
        <v/>
      </c>
      <c r="E55" s="18">
        <f>'📋 Báo Cáo 49 Ngày'!K231</f>
        <v/>
      </c>
      <c r="F55" s="18">
        <f>'📋 Báo Cáo 49 Ngày'!M231</f>
        <v/>
      </c>
      <c r="G55" s="5">
        <f>IF(COUNTIF('📋 Báo Cáo 49 Ngày'!H231:N231, "&lt;&gt;")&gt;0, "🖼️ Có kèm ảnh", "—")</f>
        <v/>
      </c>
      <c r="H55" s="7">
        <f>'📋 Báo Cáo 49 Ngày'!O231</f>
        <v/>
      </c>
      <c r="I55" s="7">
        <f>'📋 Báo Cáo 49 Ngày'!P231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Ngày'!G232</f>
        <v/>
      </c>
      <c r="D56" s="18">
        <f>'📋 Báo Cáo 49 Ngày'!I232</f>
        <v/>
      </c>
      <c r="E56" s="18">
        <f>'📋 Báo Cáo 49 Ngày'!K232</f>
        <v/>
      </c>
      <c r="F56" s="18">
        <f>'📋 Báo Cáo 49 Ngày'!M232</f>
        <v/>
      </c>
      <c r="G56" s="5">
        <f>IF(COUNTIF('📋 Báo Cáo 49 Ngày'!H232:N232, "&lt;&gt;")&gt;0, "🖼️ Có kèm ảnh", "—")</f>
        <v/>
      </c>
      <c r="H56" s="7">
        <f>'📋 Báo Cáo 49 Ngày'!O232</f>
        <v/>
      </c>
      <c r="I56" s="7">
        <f>'📋 Báo Cáo 49 Ngày'!P232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Ngày'!G233</f>
        <v/>
      </c>
      <c r="D57" s="18">
        <f>'📋 Báo Cáo 49 Ngày'!I233</f>
        <v/>
      </c>
      <c r="E57" s="18">
        <f>'📋 Báo Cáo 49 Ngày'!K233</f>
        <v/>
      </c>
      <c r="F57" s="18">
        <f>'📋 Báo Cáo 49 Ngày'!M233</f>
        <v/>
      </c>
      <c r="G57" s="5">
        <f>IF(COUNTIF('📋 Báo Cáo 49 Ngày'!H233:N233, "&lt;&gt;")&gt;0, "🖼️ Có kèm ảnh", "—")</f>
        <v/>
      </c>
      <c r="H57" s="7">
        <f>'📋 Báo Cáo 49 Ngày'!O233</f>
        <v/>
      </c>
      <c r="I57" s="7">
        <f>'📋 Báo Cáo 49 Ngày'!P233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Ngày'!G234</f>
        <v/>
      </c>
      <c r="D58" s="18">
        <f>'📋 Báo Cáo 49 Ngày'!I234</f>
        <v/>
      </c>
      <c r="E58" s="18">
        <f>'📋 Báo Cáo 49 Ngày'!K234</f>
        <v/>
      </c>
      <c r="F58" s="18">
        <f>'📋 Báo Cáo 49 Ngày'!M234</f>
        <v/>
      </c>
      <c r="G58" s="5">
        <f>IF(COUNTIF('📋 Báo Cáo 49 Ngày'!H234:N234, "&lt;&gt;")&gt;0, "🖼️ Có kèm ảnh", "—")</f>
        <v/>
      </c>
      <c r="H58" s="7">
        <f>'📋 Báo Cáo 49 Ngày'!O234</f>
        <v/>
      </c>
      <c r="I58" s="7">
        <f>'📋 Báo Cáo 49 Ngày'!P234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Ngày'!G235</f>
        <v/>
      </c>
      <c r="D59" s="18">
        <f>'📋 Báo Cáo 49 Ngày'!I235</f>
        <v/>
      </c>
      <c r="E59" s="18">
        <f>'📋 Báo Cáo 49 Ngày'!K235</f>
        <v/>
      </c>
      <c r="F59" s="18">
        <f>'📋 Báo Cáo 49 Ngày'!M235</f>
        <v/>
      </c>
      <c r="G59" s="5">
        <f>IF(COUNTIF('📋 Báo Cáo 49 Ngày'!H235:N235, "&lt;&gt;")&gt;0, "🖼️ Có kèm ảnh", "—")</f>
        <v/>
      </c>
      <c r="H59" s="7">
        <f>'📋 Báo Cáo 49 Ngày'!O235</f>
        <v/>
      </c>
      <c r="I59" s="7">
        <f>'📋 Báo Cáo 49 Ngày'!P235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Ngày'!G236</f>
        <v/>
      </c>
      <c r="D60" s="18">
        <f>'📋 Báo Cáo 49 Ngày'!I236</f>
        <v/>
      </c>
      <c r="E60" s="18">
        <f>'📋 Báo Cáo 49 Ngày'!K236</f>
        <v/>
      </c>
      <c r="F60" s="18">
        <f>'📋 Báo Cáo 49 Ngày'!M236</f>
        <v/>
      </c>
      <c r="G60" s="5">
        <f>IF(COUNTIF('📋 Báo Cáo 49 Ngày'!H236:N236, "&lt;&gt;")&gt;0, "🖼️ Có kèm ảnh", "—")</f>
        <v/>
      </c>
      <c r="H60" s="7">
        <f>'📋 Báo Cáo 49 Ngày'!O236</f>
        <v/>
      </c>
      <c r="I60" s="7">
        <f>'📋 Báo Cáo 49 Ngày'!P236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Ngày'!G237</f>
        <v/>
      </c>
      <c r="D61" s="18">
        <f>'📋 Báo Cáo 49 Ngày'!I237</f>
        <v/>
      </c>
      <c r="E61" s="18">
        <f>'📋 Báo Cáo 49 Ngày'!K237</f>
        <v/>
      </c>
      <c r="F61" s="18">
        <f>'📋 Báo Cáo 49 Ngày'!M237</f>
        <v/>
      </c>
      <c r="G61" s="5">
        <f>IF(COUNTIF('📋 Báo Cáo 49 Ngày'!H237:N237, "&lt;&gt;")&gt;0, "🖼️ Có kèm ảnh", "—")</f>
        <v/>
      </c>
      <c r="H61" s="7">
        <f>'📋 Báo Cáo 49 Ngày'!O237</f>
        <v/>
      </c>
      <c r="I61" s="7">
        <f>'📋 Báo Cáo 49 Ngày'!P237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Ngày'!G238</f>
        <v/>
      </c>
      <c r="D62" s="18">
        <f>'📋 Báo Cáo 49 Ngày'!I238</f>
        <v/>
      </c>
      <c r="E62" s="18">
        <f>'📋 Báo Cáo 49 Ngày'!K238</f>
        <v/>
      </c>
      <c r="F62" s="18">
        <f>'📋 Báo Cáo 49 Ngày'!M238</f>
        <v/>
      </c>
      <c r="G62" s="5">
        <f>IF(COUNTIF('📋 Báo Cáo 49 Ngày'!H238:N238, "&lt;&gt;")&gt;0, "🖼️ Có kèm ảnh", "—")</f>
        <v/>
      </c>
      <c r="H62" s="7">
        <f>'📋 Báo Cáo 49 Ngày'!O238</f>
        <v/>
      </c>
      <c r="I62" s="7">
        <f>'📋 Báo Cáo 49 Ngày'!P238</f>
        <v/>
      </c>
      <c r="J62" s="18" t="inlineStr"/>
    </row>
    <row r="64">
      <c r="A64" s="20" t="inlineStr">
        <is>
          <t>📍 CHỦ NHẬT (04/10/2026) - NGÀY 27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Ngày'!G239</f>
        <v/>
      </c>
      <c r="D66" s="18">
        <f>'📋 Báo Cáo 49 Ngày'!I239</f>
        <v/>
      </c>
      <c r="E66" s="18">
        <f>'📋 Báo Cáo 49 Ngày'!K239</f>
        <v/>
      </c>
      <c r="F66" s="18">
        <f>'📋 Báo Cáo 49 Ngày'!M239</f>
        <v/>
      </c>
      <c r="G66" s="5">
        <f>IF(COUNTIF('📋 Báo Cáo 49 Ngày'!H239:N239, "&lt;&gt;")&gt;0, "🖼️ Có kèm ảnh", "—")</f>
        <v/>
      </c>
      <c r="H66" s="7">
        <f>'📋 Báo Cáo 49 Ngày'!O239</f>
        <v/>
      </c>
      <c r="I66" s="7">
        <f>'📋 Báo Cáo 49 Ngày'!P239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Ngày'!G240</f>
        <v/>
      </c>
      <c r="D67" s="18">
        <f>'📋 Báo Cáo 49 Ngày'!I240</f>
        <v/>
      </c>
      <c r="E67" s="18">
        <f>'📋 Báo Cáo 49 Ngày'!K240</f>
        <v/>
      </c>
      <c r="F67" s="18">
        <f>'📋 Báo Cáo 49 Ngày'!M240</f>
        <v/>
      </c>
      <c r="G67" s="5">
        <f>IF(COUNTIF('📋 Báo Cáo 49 Ngày'!H240:N240, "&lt;&gt;")&gt;0, "🖼️ Có kèm ảnh", "—")</f>
        <v/>
      </c>
      <c r="H67" s="7">
        <f>'📋 Báo Cáo 49 Ngày'!O240</f>
        <v/>
      </c>
      <c r="I67" s="7">
        <f>'📋 Báo Cáo 49 Ngày'!P240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Ngày'!G241</f>
        <v/>
      </c>
      <c r="D68" s="18">
        <f>'📋 Báo Cáo 49 Ngày'!I241</f>
        <v/>
      </c>
      <c r="E68" s="18">
        <f>'📋 Báo Cáo 49 Ngày'!K241</f>
        <v/>
      </c>
      <c r="F68" s="18">
        <f>'📋 Báo Cáo 49 Ngày'!M241</f>
        <v/>
      </c>
      <c r="G68" s="5">
        <f>IF(COUNTIF('📋 Báo Cáo 49 Ngày'!H241:N241, "&lt;&gt;")&gt;0, "🖼️ Có kèm ảnh", "—")</f>
        <v/>
      </c>
      <c r="H68" s="7">
        <f>'📋 Báo Cáo 49 Ngày'!O241</f>
        <v/>
      </c>
      <c r="I68" s="7">
        <f>'📋 Báo Cáo 49 Ngày'!P241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Ngày'!G242</f>
        <v/>
      </c>
      <c r="D69" s="18">
        <f>'📋 Báo Cáo 49 Ngày'!I242</f>
        <v/>
      </c>
      <c r="E69" s="18">
        <f>'📋 Báo Cáo 49 Ngày'!K242</f>
        <v/>
      </c>
      <c r="F69" s="18">
        <f>'📋 Báo Cáo 49 Ngày'!M242</f>
        <v/>
      </c>
      <c r="G69" s="5">
        <f>IF(COUNTIF('📋 Báo Cáo 49 Ngày'!H242:N242, "&lt;&gt;")&gt;0, "🖼️ Có kèm ảnh", "—")</f>
        <v/>
      </c>
      <c r="H69" s="7">
        <f>'📋 Báo Cáo 49 Ngày'!O242</f>
        <v/>
      </c>
      <c r="I69" s="7">
        <f>'📋 Báo Cáo 49 Ngày'!P242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Ngày'!G243</f>
        <v/>
      </c>
      <c r="D70" s="18">
        <f>'📋 Báo Cáo 49 Ngày'!I243</f>
        <v/>
      </c>
      <c r="E70" s="18">
        <f>'📋 Báo Cáo 49 Ngày'!K243</f>
        <v/>
      </c>
      <c r="F70" s="18">
        <f>'📋 Báo Cáo 49 Ngày'!M243</f>
        <v/>
      </c>
      <c r="G70" s="5">
        <f>IF(COUNTIF('📋 Báo Cáo 49 Ngày'!H243:N243, "&lt;&gt;")&gt;0, "🖼️ Có kèm ảnh", "—")</f>
        <v/>
      </c>
      <c r="H70" s="7">
        <f>'📋 Báo Cáo 49 Ngày'!O243</f>
        <v/>
      </c>
      <c r="I70" s="7">
        <f>'📋 Báo Cáo 49 Ngày'!P243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Ngày'!G244</f>
        <v/>
      </c>
      <c r="D71" s="18">
        <f>'📋 Báo Cáo 49 Ngày'!I244</f>
        <v/>
      </c>
      <c r="E71" s="18">
        <f>'📋 Báo Cáo 49 Ngày'!K244</f>
        <v/>
      </c>
      <c r="F71" s="18">
        <f>'📋 Báo Cáo 49 Ngày'!M244</f>
        <v/>
      </c>
      <c r="G71" s="5">
        <f>IF(COUNTIF('📋 Báo Cáo 49 Ngày'!H244:N244, "&lt;&gt;")&gt;0, "🖼️ Có kèm ảnh", "—")</f>
        <v/>
      </c>
      <c r="H71" s="7">
        <f>'📋 Báo Cáo 49 Ngày'!O244</f>
        <v/>
      </c>
      <c r="I71" s="7">
        <f>'📋 Báo Cáo 49 Ngày'!P244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Ngày'!G245</f>
        <v/>
      </c>
      <c r="D72" s="18">
        <f>'📋 Báo Cáo 49 Ngày'!I245</f>
        <v/>
      </c>
      <c r="E72" s="18">
        <f>'📋 Báo Cáo 49 Ngày'!K245</f>
        <v/>
      </c>
      <c r="F72" s="18">
        <f>'📋 Báo Cáo 49 Ngày'!M245</f>
        <v/>
      </c>
      <c r="G72" s="5">
        <f>IF(COUNTIF('📋 Báo Cáo 49 Ngày'!H245:N245, "&lt;&gt;")&gt;0, "🖼️ Có kèm ảnh", "—")</f>
        <v/>
      </c>
      <c r="H72" s="7">
        <f>'📋 Báo Cáo 49 Ngày'!O245</f>
        <v/>
      </c>
      <c r="I72" s="7">
        <f>'📋 Báo Cáo 49 Ngày'!P245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Ngày'!G246</f>
        <v/>
      </c>
      <c r="D73" s="18">
        <f>'📋 Báo Cáo 49 Ngày'!I246</f>
        <v/>
      </c>
      <c r="E73" s="18">
        <f>'📋 Báo Cáo 49 Ngày'!K246</f>
        <v/>
      </c>
      <c r="F73" s="18">
        <f>'📋 Báo Cáo 49 Ngày'!M246</f>
        <v/>
      </c>
      <c r="G73" s="5">
        <f>IF(COUNTIF('📋 Báo Cáo 49 Ngày'!H246:N246, "&lt;&gt;")&gt;0, "🖼️ Có kèm ảnh", "—")</f>
        <v/>
      </c>
      <c r="H73" s="7">
        <f>'📋 Báo Cáo 49 Ngày'!O246</f>
        <v/>
      </c>
      <c r="I73" s="7">
        <f>'📋 Báo Cáo 49 Ngày'!P246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Ngày'!G247</f>
        <v/>
      </c>
      <c r="D74" s="18">
        <f>'📋 Báo Cáo 49 Ngày'!I247</f>
        <v/>
      </c>
      <c r="E74" s="18">
        <f>'📋 Báo Cáo 49 Ngày'!K247</f>
        <v/>
      </c>
      <c r="F74" s="18">
        <f>'📋 Báo Cáo 49 Ngày'!M247</f>
        <v/>
      </c>
      <c r="G74" s="5">
        <f>IF(COUNTIF('📋 Báo Cáo 49 Ngày'!H247:N247, "&lt;&gt;")&gt;0, "🖼️ Có kèm ảnh", "—")</f>
        <v/>
      </c>
      <c r="H74" s="7">
        <f>'📋 Báo Cáo 49 Ngày'!O247</f>
        <v/>
      </c>
      <c r="I74" s="7">
        <f>'📋 Báo Cáo 49 Ngày'!P247</f>
        <v/>
      </c>
      <c r="J74" s="18" t="inlineStr"/>
    </row>
    <row r="76">
      <c r="A76" s="20" t="inlineStr">
        <is>
          <t>📍 THỨ 2 (05/10/2026) - NGÀY 28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Ngày'!G248</f>
        <v/>
      </c>
      <c r="D78" s="18">
        <f>'📋 Báo Cáo 49 Ngày'!I248</f>
        <v/>
      </c>
      <c r="E78" s="18">
        <f>'📋 Báo Cáo 49 Ngày'!K248</f>
        <v/>
      </c>
      <c r="F78" s="18">
        <f>'📋 Báo Cáo 49 Ngày'!M248</f>
        <v/>
      </c>
      <c r="G78" s="5">
        <f>IF(COUNTIF('📋 Báo Cáo 49 Ngày'!H248:N248, "&lt;&gt;")&gt;0, "🖼️ Có kèm ảnh", "—")</f>
        <v/>
      </c>
      <c r="H78" s="7">
        <f>'📋 Báo Cáo 49 Ngày'!O248</f>
        <v/>
      </c>
      <c r="I78" s="7">
        <f>'📋 Báo Cáo 49 Ngày'!P248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Ngày'!G249</f>
        <v/>
      </c>
      <c r="D79" s="18">
        <f>'📋 Báo Cáo 49 Ngày'!I249</f>
        <v/>
      </c>
      <c r="E79" s="18">
        <f>'📋 Báo Cáo 49 Ngày'!K249</f>
        <v/>
      </c>
      <c r="F79" s="18">
        <f>'📋 Báo Cáo 49 Ngày'!M249</f>
        <v/>
      </c>
      <c r="G79" s="5">
        <f>IF(COUNTIF('📋 Báo Cáo 49 Ngày'!H249:N249, "&lt;&gt;")&gt;0, "🖼️ Có kèm ảnh", "—")</f>
        <v/>
      </c>
      <c r="H79" s="7">
        <f>'📋 Báo Cáo 49 Ngày'!O249</f>
        <v/>
      </c>
      <c r="I79" s="7">
        <f>'📋 Báo Cáo 49 Ngày'!P249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Ngày'!G250</f>
        <v/>
      </c>
      <c r="D80" s="18">
        <f>'📋 Báo Cáo 49 Ngày'!I250</f>
        <v/>
      </c>
      <c r="E80" s="18">
        <f>'📋 Báo Cáo 49 Ngày'!K250</f>
        <v/>
      </c>
      <c r="F80" s="18">
        <f>'📋 Báo Cáo 49 Ngày'!M250</f>
        <v/>
      </c>
      <c r="G80" s="5">
        <f>IF(COUNTIF('📋 Báo Cáo 49 Ngày'!H250:N250, "&lt;&gt;")&gt;0, "🖼️ Có kèm ảnh", "—")</f>
        <v/>
      </c>
      <c r="H80" s="7">
        <f>'📋 Báo Cáo 49 Ngày'!O250</f>
        <v/>
      </c>
      <c r="I80" s="7">
        <f>'📋 Báo Cáo 49 Ngày'!P250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Ngày'!G251</f>
        <v/>
      </c>
      <c r="D81" s="18">
        <f>'📋 Báo Cáo 49 Ngày'!I251</f>
        <v/>
      </c>
      <c r="E81" s="18">
        <f>'📋 Báo Cáo 49 Ngày'!K251</f>
        <v/>
      </c>
      <c r="F81" s="18">
        <f>'📋 Báo Cáo 49 Ngày'!M251</f>
        <v/>
      </c>
      <c r="G81" s="5">
        <f>IF(COUNTIF('📋 Báo Cáo 49 Ngày'!H251:N251, "&lt;&gt;")&gt;0, "🖼️ Có kèm ảnh", "—")</f>
        <v/>
      </c>
      <c r="H81" s="7">
        <f>'📋 Báo Cáo 49 Ngày'!O251</f>
        <v/>
      </c>
      <c r="I81" s="7">
        <f>'📋 Báo Cáo 49 Ngày'!P251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Ngày'!G252</f>
        <v/>
      </c>
      <c r="D82" s="18">
        <f>'📋 Báo Cáo 49 Ngày'!I252</f>
        <v/>
      </c>
      <c r="E82" s="18">
        <f>'📋 Báo Cáo 49 Ngày'!K252</f>
        <v/>
      </c>
      <c r="F82" s="18">
        <f>'📋 Báo Cáo 49 Ngày'!M252</f>
        <v/>
      </c>
      <c r="G82" s="5">
        <f>IF(COUNTIF('📋 Báo Cáo 49 Ngày'!H252:N252, "&lt;&gt;")&gt;0, "🖼️ Có kèm ảnh", "—")</f>
        <v/>
      </c>
      <c r="H82" s="7">
        <f>'📋 Báo Cáo 49 Ngày'!O252</f>
        <v/>
      </c>
      <c r="I82" s="7">
        <f>'📋 Báo Cáo 49 Ngày'!P252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Ngày'!G253</f>
        <v/>
      </c>
      <c r="D83" s="18">
        <f>'📋 Báo Cáo 49 Ngày'!I253</f>
        <v/>
      </c>
      <c r="E83" s="18">
        <f>'📋 Báo Cáo 49 Ngày'!K253</f>
        <v/>
      </c>
      <c r="F83" s="18">
        <f>'📋 Báo Cáo 49 Ngày'!M253</f>
        <v/>
      </c>
      <c r="G83" s="5">
        <f>IF(COUNTIF('📋 Báo Cáo 49 Ngày'!H253:N253, "&lt;&gt;")&gt;0, "🖼️ Có kèm ảnh", "—")</f>
        <v/>
      </c>
      <c r="H83" s="7">
        <f>'📋 Báo Cáo 49 Ngày'!O253</f>
        <v/>
      </c>
      <c r="I83" s="7">
        <f>'📋 Báo Cáo 49 Ngày'!P253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Ngày'!G254</f>
        <v/>
      </c>
      <c r="D84" s="18">
        <f>'📋 Báo Cáo 49 Ngày'!I254</f>
        <v/>
      </c>
      <c r="E84" s="18">
        <f>'📋 Báo Cáo 49 Ngày'!K254</f>
        <v/>
      </c>
      <c r="F84" s="18">
        <f>'📋 Báo Cáo 49 Ngày'!M254</f>
        <v/>
      </c>
      <c r="G84" s="5">
        <f>IF(COUNTIF('📋 Báo Cáo 49 Ngày'!H254:N254, "&lt;&gt;")&gt;0, "🖼️ Có kèm ảnh", "—")</f>
        <v/>
      </c>
      <c r="H84" s="7">
        <f>'📋 Báo Cáo 49 Ngày'!O254</f>
        <v/>
      </c>
      <c r="I84" s="7">
        <f>'📋 Báo Cáo 49 Ngày'!P254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Ngày'!G255</f>
        <v/>
      </c>
      <c r="D85" s="18">
        <f>'📋 Báo Cáo 49 Ngày'!I255</f>
        <v/>
      </c>
      <c r="E85" s="18">
        <f>'📋 Báo Cáo 49 Ngày'!K255</f>
        <v/>
      </c>
      <c r="F85" s="18">
        <f>'📋 Báo Cáo 49 Ngày'!M255</f>
        <v/>
      </c>
      <c r="G85" s="5">
        <f>IF(COUNTIF('📋 Báo Cáo 49 Ngày'!H255:N255, "&lt;&gt;")&gt;0, "🖼️ Có kèm ảnh", "—")</f>
        <v/>
      </c>
      <c r="H85" s="7">
        <f>'📋 Báo Cáo 49 Ngày'!O255</f>
        <v/>
      </c>
      <c r="I85" s="7">
        <f>'📋 Báo Cáo 49 Ngày'!P255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Ngày'!G256</f>
        <v/>
      </c>
      <c r="D86" s="18">
        <f>'📋 Báo Cáo 49 Ngày'!I256</f>
        <v/>
      </c>
      <c r="E86" s="18">
        <f>'📋 Báo Cáo 49 Ngày'!K256</f>
        <v/>
      </c>
      <c r="F86" s="18">
        <f>'📋 Báo Cáo 49 Ngày'!M256</f>
        <v/>
      </c>
      <c r="G86" s="5">
        <f>IF(COUNTIF('📋 Báo Cáo 49 Ngày'!H256:N256, "&lt;&gt;")&gt;0, "🖼️ Có kèm ảnh", "—")</f>
        <v/>
      </c>
      <c r="H86" s="7">
        <f>'📋 Báo Cáo 49 Ngày'!O256</f>
        <v/>
      </c>
      <c r="I86" s="7">
        <f>'📋 Báo Cáo 49 Ngày'!P256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5 (06/10 - 12/10/2026) - BÁO CÁO 9 THÀNH VIÊN</t>
        </is>
      </c>
    </row>
    <row r="2"/>
    <row r="4">
      <c r="A4" s="20" t="inlineStr">
        <is>
          <t>📍 THỨ 3 (06/10/2026) - NGÀY 29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Ngày'!G257</f>
        <v/>
      </c>
      <c r="D6" s="18">
        <f>'📋 Báo Cáo 49 Ngày'!I257</f>
        <v/>
      </c>
      <c r="E6" s="18">
        <f>'📋 Báo Cáo 49 Ngày'!K257</f>
        <v/>
      </c>
      <c r="F6" s="18">
        <f>'📋 Báo Cáo 49 Ngày'!M257</f>
        <v/>
      </c>
      <c r="G6" s="5">
        <f>IF(COUNTIF('📋 Báo Cáo 49 Ngày'!H257:N257, "&lt;&gt;")&gt;0, "🖼️ Có kèm ảnh", "—")</f>
        <v/>
      </c>
      <c r="H6" s="7">
        <f>'📋 Báo Cáo 49 Ngày'!O257</f>
        <v/>
      </c>
      <c r="I6" s="7">
        <f>'📋 Báo Cáo 49 Ngày'!P257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Ngày'!G258</f>
        <v/>
      </c>
      <c r="D7" s="18">
        <f>'📋 Báo Cáo 49 Ngày'!I258</f>
        <v/>
      </c>
      <c r="E7" s="18">
        <f>'📋 Báo Cáo 49 Ngày'!K258</f>
        <v/>
      </c>
      <c r="F7" s="18">
        <f>'📋 Báo Cáo 49 Ngày'!M258</f>
        <v/>
      </c>
      <c r="G7" s="5">
        <f>IF(COUNTIF('📋 Báo Cáo 49 Ngày'!H258:N258, "&lt;&gt;")&gt;0, "🖼️ Có kèm ảnh", "—")</f>
        <v/>
      </c>
      <c r="H7" s="7">
        <f>'📋 Báo Cáo 49 Ngày'!O258</f>
        <v/>
      </c>
      <c r="I7" s="7">
        <f>'📋 Báo Cáo 49 Ngày'!P258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Ngày'!G259</f>
        <v/>
      </c>
      <c r="D8" s="18">
        <f>'📋 Báo Cáo 49 Ngày'!I259</f>
        <v/>
      </c>
      <c r="E8" s="18">
        <f>'📋 Báo Cáo 49 Ngày'!K259</f>
        <v/>
      </c>
      <c r="F8" s="18">
        <f>'📋 Báo Cáo 49 Ngày'!M259</f>
        <v/>
      </c>
      <c r="G8" s="5">
        <f>IF(COUNTIF('📋 Báo Cáo 49 Ngày'!H259:N259, "&lt;&gt;")&gt;0, "🖼️ Có kèm ảnh", "—")</f>
        <v/>
      </c>
      <c r="H8" s="7">
        <f>'📋 Báo Cáo 49 Ngày'!O259</f>
        <v/>
      </c>
      <c r="I8" s="7">
        <f>'📋 Báo Cáo 49 Ngày'!P259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Ngày'!G260</f>
        <v/>
      </c>
      <c r="D9" s="18">
        <f>'📋 Báo Cáo 49 Ngày'!I260</f>
        <v/>
      </c>
      <c r="E9" s="18">
        <f>'📋 Báo Cáo 49 Ngày'!K260</f>
        <v/>
      </c>
      <c r="F9" s="18">
        <f>'📋 Báo Cáo 49 Ngày'!M260</f>
        <v/>
      </c>
      <c r="G9" s="5">
        <f>IF(COUNTIF('📋 Báo Cáo 49 Ngày'!H260:N260, "&lt;&gt;")&gt;0, "🖼️ Có kèm ảnh", "—")</f>
        <v/>
      </c>
      <c r="H9" s="7">
        <f>'📋 Báo Cáo 49 Ngày'!O260</f>
        <v/>
      </c>
      <c r="I9" s="7">
        <f>'📋 Báo Cáo 49 Ngày'!P260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Ngày'!G261</f>
        <v/>
      </c>
      <c r="D10" s="18">
        <f>'📋 Báo Cáo 49 Ngày'!I261</f>
        <v/>
      </c>
      <c r="E10" s="18">
        <f>'📋 Báo Cáo 49 Ngày'!K261</f>
        <v/>
      </c>
      <c r="F10" s="18">
        <f>'📋 Báo Cáo 49 Ngày'!M261</f>
        <v/>
      </c>
      <c r="G10" s="5">
        <f>IF(COUNTIF('📋 Báo Cáo 49 Ngày'!H261:N261, "&lt;&gt;")&gt;0, "🖼️ Có kèm ảnh", "—")</f>
        <v/>
      </c>
      <c r="H10" s="7">
        <f>'📋 Báo Cáo 49 Ngày'!O261</f>
        <v/>
      </c>
      <c r="I10" s="7">
        <f>'📋 Báo Cáo 49 Ngày'!P261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Ngày'!G262</f>
        <v/>
      </c>
      <c r="D11" s="18">
        <f>'📋 Báo Cáo 49 Ngày'!I262</f>
        <v/>
      </c>
      <c r="E11" s="18">
        <f>'📋 Báo Cáo 49 Ngày'!K262</f>
        <v/>
      </c>
      <c r="F11" s="18">
        <f>'📋 Báo Cáo 49 Ngày'!M262</f>
        <v/>
      </c>
      <c r="G11" s="5">
        <f>IF(COUNTIF('📋 Báo Cáo 49 Ngày'!H262:N262, "&lt;&gt;")&gt;0, "🖼️ Có kèm ảnh", "—")</f>
        <v/>
      </c>
      <c r="H11" s="7">
        <f>'📋 Báo Cáo 49 Ngày'!O262</f>
        <v/>
      </c>
      <c r="I11" s="7">
        <f>'📋 Báo Cáo 49 Ngày'!P262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Ngày'!G263</f>
        <v/>
      </c>
      <c r="D12" s="18">
        <f>'📋 Báo Cáo 49 Ngày'!I263</f>
        <v/>
      </c>
      <c r="E12" s="18">
        <f>'📋 Báo Cáo 49 Ngày'!K263</f>
        <v/>
      </c>
      <c r="F12" s="18">
        <f>'📋 Báo Cáo 49 Ngày'!M263</f>
        <v/>
      </c>
      <c r="G12" s="5">
        <f>IF(COUNTIF('📋 Báo Cáo 49 Ngày'!H263:N263, "&lt;&gt;")&gt;0, "🖼️ Có kèm ảnh", "—")</f>
        <v/>
      </c>
      <c r="H12" s="7">
        <f>'📋 Báo Cáo 49 Ngày'!O263</f>
        <v/>
      </c>
      <c r="I12" s="7">
        <f>'📋 Báo Cáo 49 Ngày'!P263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Ngày'!G264</f>
        <v/>
      </c>
      <c r="D13" s="18">
        <f>'📋 Báo Cáo 49 Ngày'!I264</f>
        <v/>
      </c>
      <c r="E13" s="18">
        <f>'📋 Báo Cáo 49 Ngày'!K264</f>
        <v/>
      </c>
      <c r="F13" s="18">
        <f>'📋 Báo Cáo 49 Ngày'!M264</f>
        <v/>
      </c>
      <c r="G13" s="5">
        <f>IF(COUNTIF('📋 Báo Cáo 49 Ngày'!H264:N264, "&lt;&gt;")&gt;0, "🖼️ Có kèm ảnh", "—")</f>
        <v/>
      </c>
      <c r="H13" s="7">
        <f>'📋 Báo Cáo 49 Ngày'!O264</f>
        <v/>
      </c>
      <c r="I13" s="7">
        <f>'📋 Báo Cáo 49 Ngày'!P264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Ngày'!G265</f>
        <v/>
      </c>
      <c r="D14" s="18">
        <f>'📋 Báo Cáo 49 Ngày'!I265</f>
        <v/>
      </c>
      <c r="E14" s="18">
        <f>'📋 Báo Cáo 49 Ngày'!K265</f>
        <v/>
      </c>
      <c r="F14" s="18">
        <f>'📋 Báo Cáo 49 Ngày'!M265</f>
        <v/>
      </c>
      <c r="G14" s="5">
        <f>IF(COUNTIF('📋 Báo Cáo 49 Ngày'!H265:N265, "&lt;&gt;")&gt;0, "🖼️ Có kèm ảnh", "—")</f>
        <v/>
      </c>
      <c r="H14" s="7">
        <f>'📋 Báo Cáo 49 Ngày'!O265</f>
        <v/>
      </c>
      <c r="I14" s="7">
        <f>'📋 Báo Cáo 49 Ngày'!P265</f>
        <v/>
      </c>
      <c r="J14" s="18" t="inlineStr"/>
    </row>
    <row r="16">
      <c r="A16" s="20" t="inlineStr">
        <is>
          <t>📍 THỨ 4 (07/10/2026) - NGÀY 30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Ngày'!G266</f>
        <v/>
      </c>
      <c r="D18" s="18">
        <f>'📋 Báo Cáo 49 Ngày'!I266</f>
        <v/>
      </c>
      <c r="E18" s="18">
        <f>'📋 Báo Cáo 49 Ngày'!K266</f>
        <v/>
      </c>
      <c r="F18" s="18">
        <f>'📋 Báo Cáo 49 Ngày'!M266</f>
        <v/>
      </c>
      <c r="G18" s="5">
        <f>IF(COUNTIF('📋 Báo Cáo 49 Ngày'!H266:N266, "&lt;&gt;")&gt;0, "🖼️ Có kèm ảnh", "—")</f>
        <v/>
      </c>
      <c r="H18" s="7">
        <f>'📋 Báo Cáo 49 Ngày'!O266</f>
        <v/>
      </c>
      <c r="I18" s="7">
        <f>'📋 Báo Cáo 49 Ngày'!P266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Ngày'!G267</f>
        <v/>
      </c>
      <c r="D19" s="18">
        <f>'📋 Báo Cáo 49 Ngày'!I267</f>
        <v/>
      </c>
      <c r="E19" s="18">
        <f>'📋 Báo Cáo 49 Ngày'!K267</f>
        <v/>
      </c>
      <c r="F19" s="18">
        <f>'📋 Báo Cáo 49 Ngày'!M267</f>
        <v/>
      </c>
      <c r="G19" s="5">
        <f>IF(COUNTIF('📋 Báo Cáo 49 Ngày'!H267:N267, "&lt;&gt;")&gt;0, "🖼️ Có kèm ảnh", "—")</f>
        <v/>
      </c>
      <c r="H19" s="7">
        <f>'📋 Báo Cáo 49 Ngày'!O267</f>
        <v/>
      </c>
      <c r="I19" s="7">
        <f>'📋 Báo Cáo 49 Ngày'!P267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Ngày'!G268</f>
        <v/>
      </c>
      <c r="D20" s="18">
        <f>'📋 Báo Cáo 49 Ngày'!I268</f>
        <v/>
      </c>
      <c r="E20" s="18">
        <f>'📋 Báo Cáo 49 Ngày'!K268</f>
        <v/>
      </c>
      <c r="F20" s="18">
        <f>'📋 Báo Cáo 49 Ngày'!M268</f>
        <v/>
      </c>
      <c r="G20" s="5">
        <f>IF(COUNTIF('📋 Báo Cáo 49 Ngày'!H268:N268, "&lt;&gt;")&gt;0, "🖼️ Có kèm ảnh", "—")</f>
        <v/>
      </c>
      <c r="H20" s="7">
        <f>'📋 Báo Cáo 49 Ngày'!O268</f>
        <v/>
      </c>
      <c r="I20" s="7">
        <f>'📋 Báo Cáo 49 Ngày'!P268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Ngày'!G269</f>
        <v/>
      </c>
      <c r="D21" s="18">
        <f>'📋 Báo Cáo 49 Ngày'!I269</f>
        <v/>
      </c>
      <c r="E21" s="18">
        <f>'📋 Báo Cáo 49 Ngày'!K269</f>
        <v/>
      </c>
      <c r="F21" s="18">
        <f>'📋 Báo Cáo 49 Ngày'!M269</f>
        <v/>
      </c>
      <c r="G21" s="5">
        <f>IF(COUNTIF('📋 Báo Cáo 49 Ngày'!H269:N269, "&lt;&gt;")&gt;0, "🖼️ Có kèm ảnh", "—")</f>
        <v/>
      </c>
      <c r="H21" s="7">
        <f>'📋 Báo Cáo 49 Ngày'!O269</f>
        <v/>
      </c>
      <c r="I21" s="7">
        <f>'📋 Báo Cáo 49 Ngày'!P269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Ngày'!G270</f>
        <v/>
      </c>
      <c r="D22" s="18">
        <f>'📋 Báo Cáo 49 Ngày'!I270</f>
        <v/>
      </c>
      <c r="E22" s="18">
        <f>'📋 Báo Cáo 49 Ngày'!K270</f>
        <v/>
      </c>
      <c r="F22" s="18">
        <f>'📋 Báo Cáo 49 Ngày'!M270</f>
        <v/>
      </c>
      <c r="G22" s="5">
        <f>IF(COUNTIF('📋 Báo Cáo 49 Ngày'!H270:N270, "&lt;&gt;")&gt;0, "🖼️ Có kèm ảnh", "—")</f>
        <v/>
      </c>
      <c r="H22" s="7">
        <f>'📋 Báo Cáo 49 Ngày'!O270</f>
        <v/>
      </c>
      <c r="I22" s="7">
        <f>'📋 Báo Cáo 49 Ngày'!P270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Ngày'!G271</f>
        <v/>
      </c>
      <c r="D23" s="18">
        <f>'📋 Báo Cáo 49 Ngày'!I271</f>
        <v/>
      </c>
      <c r="E23" s="18">
        <f>'📋 Báo Cáo 49 Ngày'!K271</f>
        <v/>
      </c>
      <c r="F23" s="18">
        <f>'📋 Báo Cáo 49 Ngày'!M271</f>
        <v/>
      </c>
      <c r="G23" s="5">
        <f>IF(COUNTIF('📋 Báo Cáo 49 Ngày'!H271:N271, "&lt;&gt;")&gt;0, "🖼️ Có kèm ảnh", "—")</f>
        <v/>
      </c>
      <c r="H23" s="7">
        <f>'📋 Báo Cáo 49 Ngày'!O271</f>
        <v/>
      </c>
      <c r="I23" s="7">
        <f>'📋 Báo Cáo 49 Ngày'!P271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Ngày'!G272</f>
        <v/>
      </c>
      <c r="D24" s="18">
        <f>'📋 Báo Cáo 49 Ngày'!I272</f>
        <v/>
      </c>
      <c r="E24" s="18">
        <f>'📋 Báo Cáo 49 Ngày'!K272</f>
        <v/>
      </c>
      <c r="F24" s="18">
        <f>'📋 Báo Cáo 49 Ngày'!M272</f>
        <v/>
      </c>
      <c r="G24" s="5">
        <f>IF(COUNTIF('📋 Báo Cáo 49 Ngày'!H272:N272, "&lt;&gt;")&gt;0, "🖼️ Có kèm ảnh", "—")</f>
        <v/>
      </c>
      <c r="H24" s="7">
        <f>'📋 Báo Cáo 49 Ngày'!O272</f>
        <v/>
      </c>
      <c r="I24" s="7">
        <f>'📋 Báo Cáo 49 Ngày'!P272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Ngày'!G273</f>
        <v/>
      </c>
      <c r="D25" s="18">
        <f>'📋 Báo Cáo 49 Ngày'!I273</f>
        <v/>
      </c>
      <c r="E25" s="18">
        <f>'📋 Báo Cáo 49 Ngày'!K273</f>
        <v/>
      </c>
      <c r="F25" s="18">
        <f>'📋 Báo Cáo 49 Ngày'!M273</f>
        <v/>
      </c>
      <c r="G25" s="5">
        <f>IF(COUNTIF('📋 Báo Cáo 49 Ngày'!H273:N273, "&lt;&gt;")&gt;0, "🖼️ Có kèm ảnh", "—")</f>
        <v/>
      </c>
      <c r="H25" s="7">
        <f>'📋 Báo Cáo 49 Ngày'!O273</f>
        <v/>
      </c>
      <c r="I25" s="7">
        <f>'📋 Báo Cáo 49 Ngày'!P273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Ngày'!G274</f>
        <v/>
      </c>
      <c r="D26" s="18">
        <f>'📋 Báo Cáo 49 Ngày'!I274</f>
        <v/>
      </c>
      <c r="E26" s="18">
        <f>'📋 Báo Cáo 49 Ngày'!K274</f>
        <v/>
      </c>
      <c r="F26" s="18">
        <f>'📋 Báo Cáo 49 Ngày'!M274</f>
        <v/>
      </c>
      <c r="G26" s="5">
        <f>IF(COUNTIF('📋 Báo Cáo 49 Ngày'!H274:N274, "&lt;&gt;")&gt;0, "🖼️ Có kèm ảnh", "—")</f>
        <v/>
      </c>
      <c r="H26" s="7">
        <f>'📋 Báo Cáo 49 Ngày'!O274</f>
        <v/>
      </c>
      <c r="I26" s="7">
        <f>'📋 Báo Cáo 49 Ngày'!P274</f>
        <v/>
      </c>
      <c r="J26" s="18" t="inlineStr"/>
    </row>
    <row r="28">
      <c r="A28" s="20" t="inlineStr">
        <is>
          <t>📍 THỨ 5 (08/10/2026) - NGÀY 31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Ngày'!G275</f>
        <v/>
      </c>
      <c r="D30" s="18">
        <f>'📋 Báo Cáo 49 Ngày'!I275</f>
        <v/>
      </c>
      <c r="E30" s="18">
        <f>'📋 Báo Cáo 49 Ngày'!K275</f>
        <v/>
      </c>
      <c r="F30" s="18">
        <f>'📋 Báo Cáo 49 Ngày'!M275</f>
        <v/>
      </c>
      <c r="G30" s="5">
        <f>IF(COUNTIF('📋 Báo Cáo 49 Ngày'!H275:N275, "&lt;&gt;")&gt;0, "🖼️ Có kèm ảnh", "—")</f>
        <v/>
      </c>
      <c r="H30" s="7">
        <f>'📋 Báo Cáo 49 Ngày'!O275</f>
        <v/>
      </c>
      <c r="I30" s="7">
        <f>'📋 Báo Cáo 49 Ngày'!P275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Ngày'!G276</f>
        <v/>
      </c>
      <c r="D31" s="18">
        <f>'📋 Báo Cáo 49 Ngày'!I276</f>
        <v/>
      </c>
      <c r="E31" s="18">
        <f>'📋 Báo Cáo 49 Ngày'!K276</f>
        <v/>
      </c>
      <c r="F31" s="18">
        <f>'📋 Báo Cáo 49 Ngày'!M276</f>
        <v/>
      </c>
      <c r="G31" s="5">
        <f>IF(COUNTIF('📋 Báo Cáo 49 Ngày'!H276:N276, "&lt;&gt;")&gt;0, "🖼️ Có kèm ảnh", "—")</f>
        <v/>
      </c>
      <c r="H31" s="7">
        <f>'📋 Báo Cáo 49 Ngày'!O276</f>
        <v/>
      </c>
      <c r="I31" s="7">
        <f>'📋 Báo Cáo 49 Ngày'!P276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Ngày'!G277</f>
        <v/>
      </c>
      <c r="D32" s="18">
        <f>'📋 Báo Cáo 49 Ngày'!I277</f>
        <v/>
      </c>
      <c r="E32" s="18">
        <f>'📋 Báo Cáo 49 Ngày'!K277</f>
        <v/>
      </c>
      <c r="F32" s="18">
        <f>'📋 Báo Cáo 49 Ngày'!M277</f>
        <v/>
      </c>
      <c r="G32" s="5">
        <f>IF(COUNTIF('📋 Báo Cáo 49 Ngày'!H277:N277, "&lt;&gt;")&gt;0, "🖼️ Có kèm ảnh", "—")</f>
        <v/>
      </c>
      <c r="H32" s="7">
        <f>'📋 Báo Cáo 49 Ngày'!O277</f>
        <v/>
      </c>
      <c r="I32" s="7">
        <f>'📋 Báo Cáo 49 Ngày'!P277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Ngày'!G278</f>
        <v/>
      </c>
      <c r="D33" s="18">
        <f>'📋 Báo Cáo 49 Ngày'!I278</f>
        <v/>
      </c>
      <c r="E33" s="18">
        <f>'📋 Báo Cáo 49 Ngày'!K278</f>
        <v/>
      </c>
      <c r="F33" s="18">
        <f>'📋 Báo Cáo 49 Ngày'!M278</f>
        <v/>
      </c>
      <c r="G33" s="5">
        <f>IF(COUNTIF('📋 Báo Cáo 49 Ngày'!H278:N278, "&lt;&gt;")&gt;0, "🖼️ Có kèm ảnh", "—")</f>
        <v/>
      </c>
      <c r="H33" s="7">
        <f>'📋 Báo Cáo 49 Ngày'!O278</f>
        <v/>
      </c>
      <c r="I33" s="7">
        <f>'📋 Báo Cáo 49 Ngày'!P278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Ngày'!G279</f>
        <v/>
      </c>
      <c r="D34" s="18">
        <f>'📋 Báo Cáo 49 Ngày'!I279</f>
        <v/>
      </c>
      <c r="E34" s="18">
        <f>'📋 Báo Cáo 49 Ngày'!K279</f>
        <v/>
      </c>
      <c r="F34" s="18">
        <f>'📋 Báo Cáo 49 Ngày'!M279</f>
        <v/>
      </c>
      <c r="G34" s="5">
        <f>IF(COUNTIF('📋 Báo Cáo 49 Ngày'!H279:N279, "&lt;&gt;")&gt;0, "🖼️ Có kèm ảnh", "—")</f>
        <v/>
      </c>
      <c r="H34" s="7">
        <f>'📋 Báo Cáo 49 Ngày'!O279</f>
        <v/>
      </c>
      <c r="I34" s="7">
        <f>'📋 Báo Cáo 49 Ngày'!P279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Ngày'!G280</f>
        <v/>
      </c>
      <c r="D35" s="18">
        <f>'📋 Báo Cáo 49 Ngày'!I280</f>
        <v/>
      </c>
      <c r="E35" s="18">
        <f>'📋 Báo Cáo 49 Ngày'!K280</f>
        <v/>
      </c>
      <c r="F35" s="18">
        <f>'📋 Báo Cáo 49 Ngày'!M280</f>
        <v/>
      </c>
      <c r="G35" s="5">
        <f>IF(COUNTIF('📋 Báo Cáo 49 Ngày'!H280:N280, "&lt;&gt;")&gt;0, "🖼️ Có kèm ảnh", "—")</f>
        <v/>
      </c>
      <c r="H35" s="7">
        <f>'📋 Báo Cáo 49 Ngày'!O280</f>
        <v/>
      </c>
      <c r="I35" s="7">
        <f>'📋 Báo Cáo 49 Ngày'!P280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Ngày'!G281</f>
        <v/>
      </c>
      <c r="D36" s="18">
        <f>'📋 Báo Cáo 49 Ngày'!I281</f>
        <v/>
      </c>
      <c r="E36" s="18">
        <f>'📋 Báo Cáo 49 Ngày'!K281</f>
        <v/>
      </c>
      <c r="F36" s="18">
        <f>'📋 Báo Cáo 49 Ngày'!M281</f>
        <v/>
      </c>
      <c r="G36" s="5">
        <f>IF(COUNTIF('📋 Báo Cáo 49 Ngày'!H281:N281, "&lt;&gt;")&gt;0, "🖼️ Có kèm ảnh", "—")</f>
        <v/>
      </c>
      <c r="H36" s="7">
        <f>'📋 Báo Cáo 49 Ngày'!O281</f>
        <v/>
      </c>
      <c r="I36" s="7">
        <f>'📋 Báo Cáo 49 Ngày'!P281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Ngày'!G282</f>
        <v/>
      </c>
      <c r="D37" s="18">
        <f>'📋 Báo Cáo 49 Ngày'!I282</f>
        <v/>
      </c>
      <c r="E37" s="18">
        <f>'📋 Báo Cáo 49 Ngày'!K282</f>
        <v/>
      </c>
      <c r="F37" s="18">
        <f>'📋 Báo Cáo 49 Ngày'!M282</f>
        <v/>
      </c>
      <c r="G37" s="5">
        <f>IF(COUNTIF('📋 Báo Cáo 49 Ngày'!H282:N282, "&lt;&gt;")&gt;0, "🖼️ Có kèm ảnh", "—")</f>
        <v/>
      </c>
      <c r="H37" s="7">
        <f>'📋 Báo Cáo 49 Ngày'!O282</f>
        <v/>
      </c>
      <c r="I37" s="7">
        <f>'📋 Báo Cáo 49 Ngày'!P282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Ngày'!G283</f>
        <v/>
      </c>
      <c r="D38" s="18">
        <f>'📋 Báo Cáo 49 Ngày'!I283</f>
        <v/>
      </c>
      <c r="E38" s="18">
        <f>'📋 Báo Cáo 49 Ngày'!K283</f>
        <v/>
      </c>
      <c r="F38" s="18">
        <f>'📋 Báo Cáo 49 Ngày'!M283</f>
        <v/>
      </c>
      <c r="G38" s="5">
        <f>IF(COUNTIF('📋 Báo Cáo 49 Ngày'!H283:N283, "&lt;&gt;")&gt;0, "🖼️ Có kèm ảnh", "—")</f>
        <v/>
      </c>
      <c r="H38" s="7">
        <f>'📋 Báo Cáo 49 Ngày'!O283</f>
        <v/>
      </c>
      <c r="I38" s="7">
        <f>'📋 Báo Cáo 49 Ngày'!P283</f>
        <v/>
      </c>
      <c r="J38" s="18" t="inlineStr"/>
    </row>
    <row r="40">
      <c r="A40" s="20" t="inlineStr">
        <is>
          <t>📍 THỨ 6 (09/10/2026) - NGÀY 32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Ngày'!G284</f>
        <v/>
      </c>
      <c r="D42" s="18">
        <f>'📋 Báo Cáo 49 Ngày'!I284</f>
        <v/>
      </c>
      <c r="E42" s="18">
        <f>'📋 Báo Cáo 49 Ngày'!K284</f>
        <v/>
      </c>
      <c r="F42" s="18">
        <f>'📋 Báo Cáo 49 Ngày'!M284</f>
        <v/>
      </c>
      <c r="G42" s="5">
        <f>IF(COUNTIF('📋 Báo Cáo 49 Ngày'!H284:N284, "&lt;&gt;")&gt;0, "🖼️ Có kèm ảnh", "—")</f>
        <v/>
      </c>
      <c r="H42" s="7">
        <f>'📋 Báo Cáo 49 Ngày'!O284</f>
        <v/>
      </c>
      <c r="I42" s="7">
        <f>'📋 Báo Cáo 49 Ngày'!P284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Ngày'!G285</f>
        <v/>
      </c>
      <c r="D43" s="18">
        <f>'📋 Báo Cáo 49 Ngày'!I285</f>
        <v/>
      </c>
      <c r="E43" s="18">
        <f>'📋 Báo Cáo 49 Ngày'!K285</f>
        <v/>
      </c>
      <c r="F43" s="18">
        <f>'📋 Báo Cáo 49 Ngày'!M285</f>
        <v/>
      </c>
      <c r="G43" s="5">
        <f>IF(COUNTIF('📋 Báo Cáo 49 Ngày'!H285:N285, "&lt;&gt;")&gt;0, "🖼️ Có kèm ảnh", "—")</f>
        <v/>
      </c>
      <c r="H43" s="7">
        <f>'📋 Báo Cáo 49 Ngày'!O285</f>
        <v/>
      </c>
      <c r="I43" s="7">
        <f>'📋 Báo Cáo 49 Ngày'!P285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Ngày'!G286</f>
        <v/>
      </c>
      <c r="D44" s="18">
        <f>'📋 Báo Cáo 49 Ngày'!I286</f>
        <v/>
      </c>
      <c r="E44" s="18">
        <f>'📋 Báo Cáo 49 Ngày'!K286</f>
        <v/>
      </c>
      <c r="F44" s="18">
        <f>'📋 Báo Cáo 49 Ngày'!M286</f>
        <v/>
      </c>
      <c r="G44" s="5">
        <f>IF(COUNTIF('📋 Báo Cáo 49 Ngày'!H286:N286, "&lt;&gt;")&gt;0, "🖼️ Có kèm ảnh", "—")</f>
        <v/>
      </c>
      <c r="H44" s="7">
        <f>'📋 Báo Cáo 49 Ngày'!O286</f>
        <v/>
      </c>
      <c r="I44" s="7">
        <f>'📋 Báo Cáo 49 Ngày'!P286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Ngày'!G287</f>
        <v/>
      </c>
      <c r="D45" s="18">
        <f>'📋 Báo Cáo 49 Ngày'!I287</f>
        <v/>
      </c>
      <c r="E45" s="18">
        <f>'📋 Báo Cáo 49 Ngày'!K287</f>
        <v/>
      </c>
      <c r="F45" s="18">
        <f>'📋 Báo Cáo 49 Ngày'!M287</f>
        <v/>
      </c>
      <c r="G45" s="5">
        <f>IF(COUNTIF('📋 Báo Cáo 49 Ngày'!H287:N287, "&lt;&gt;")&gt;0, "🖼️ Có kèm ảnh", "—")</f>
        <v/>
      </c>
      <c r="H45" s="7">
        <f>'📋 Báo Cáo 49 Ngày'!O287</f>
        <v/>
      </c>
      <c r="I45" s="7">
        <f>'📋 Báo Cáo 49 Ngày'!P287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Ngày'!G288</f>
        <v/>
      </c>
      <c r="D46" s="18">
        <f>'📋 Báo Cáo 49 Ngày'!I288</f>
        <v/>
      </c>
      <c r="E46" s="18">
        <f>'📋 Báo Cáo 49 Ngày'!K288</f>
        <v/>
      </c>
      <c r="F46" s="18">
        <f>'📋 Báo Cáo 49 Ngày'!M288</f>
        <v/>
      </c>
      <c r="G46" s="5">
        <f>IF(COUNTIF('📋 Báo Cáo 49 Ngày'!H288:N288, "&lt;&gt;")&gt;0, "🖼️ Có kèm ảnh", "—")</f>
        <v/>
      </c>
      <c r="H46" s="7">
        <f>'📋 Báo Cáo 49 Ngày'!O288</f>
        <v/>
      </c>
      <c r="I46" s="7">
        <f>'📋 Báo Cáo 49 Ngày'!P288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Ngày'!G289</f>
        <v/>
      </c>
      <c r="D47" s="18">
        <f>'📋 Báo Cáo 49 Ngày'!I289</f>
        <v/>
      </c>
      <c r="E47" s="18">
        <f>'📋 Báo Cáo 49 Ngày'!K289</f>
        <v/>
      </c>
      <c r="F47" s="18">
        <f>'📋 Báo Cáo 49 Ngày'!M289</f>
        <v/>
      </c>
      <c r="G47" s="5">
        <f>IF(COUNTIF('📋 Báo Cáo 49 Ngày'!H289:N289, "&lt;&gt;")&gt;0, "🖼️ Có kèm ảnh", "—")</f>
        <v/>
      </c>
      <c r="H47" s="7">
        <f>'📋 Báo Cáo 49 Ngày'!O289</f>
        <v/>
      </c>
      <c r="I47" s="7">
        <f>'📋 Báo Cáo 49 Ngày'!P289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Ngày'!G290</f>
        <v/>
      </c>
      <c r="D48" s="18">
        <f>'📋 Báo Cáo 49 Ngày'!I290</f>
        <v/>
      </c>
      <c r="E48" s="18">
        <f>'📋 Báo Cáo 49 Ngày'!K290</f>
        <v/>
      </c>
      <c r="F48" s="18">
        <f>'📋 Báo Cáo 49 Ngày'!M290</f>
        <v/>
      </c>
      <c r="G48" s="5">
        <f>IF(COUNTIF('📋 Báo Cáo 49 Ngày'!H290:N290, "&lt;&gt;")&gt;0, "🖼️ Có kèm ảnh", "—")</f>
        <v/>
      </c>
      <c r="H48" s="7">
        <f>'📋 Báo Cáo 49 Ngày'!O290</f>
        <v/>
      </c>
      <c r="I48" s="7">
        <f>'📋 Báo Cáo 49 Ngày'!P290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Ngày'!G291</f>
        <v/>
      </c>
      <c r="D49" s="18">
        <f>'📋 Báo Cáo 49 Ngày'!I291</f>
        <v/>
      </c>
      <c r="E49" s="18">
        <f>'📋 Báo Cáo 49 Ngày'!K291</f>
        <v/>
      </c>
      <c r="F49" s="18">
        <f>'📋 Báo Cáo 49 Ngày'!M291</f>
        <v/>
      </c>
      <c r="G49" s="5">
        <f>IF(COUNTIF('📋 Báo Cáo 49 Ngày'!H291:N291, "&lt;&gt;")&gt;0, "🖼️ Có kèm ảnh", "—")</f>
        <v/>
      </c>
      <c r="H49" s="7">
        <f>'📋 Báo Cáo 49 Ngày'!O291</f>
        <v/>
      </c>
      <c r="I49" s="7">
        <f>'📋 Báo Cáo 49 Ngày'!P291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Ngày'!G292</f>
        <v/>
      </c>
      <c r="D50" s="18">
        <f>'📋 Báo Cáo 49 Ngày'!I292</f>
        <v/>
      </c>
      <c r="E50" s="18">
        <f>'📋 Báo Cáo 49 Ngày'!K292</f>
        <v/>
      </c>
      <c r="F50" s="18">
        <f>'📋 Báo Cáo 49 Ngày'!M292</f>
        <v/>
      </c>
      <c r="G50" s="5">
        <f>IF(COUNTIF('📋 Báo Cáo 49 Ngày'!H292:N292, "&lt;&gt;")&gt;0, "🖼️ Có kèm ảnh", "—")</f>
        <v/>
      </c>
      <c r="H50" s="7">
        <f>'📋 Báo Cáo 49 Ngày'!O292</f>
        <v/>
      </c>
      <c r="I50" s="7">
        <f>'📋 Báo Cáo 49 Ngày'!P292</f>
        <v/>
      </c>
      <c r="J50" s="18" t="inlineStr"/>
    </row>
    <row r="52">
      <c r="A52" s="20" t="inlineStr">
        <is>
          <t>📍 THỨ 7 (10/10/2026) - NGÀY 33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Ngày'!G293</f>
        <v/>
      </c>
      <c r="D54" s="18">
        <f>'📋 Báo Cáo 49 Ngày'!I293</f>
        <v/>
      </c>
      <c r="E54" s="18">
        <f>'📋 Báo Cáo 49 Ngày'!K293</f>
        <v/>
      </c>
      <c r="F54" s="18">
        <f>'📋 Báo Cáo 49 Ngày'!M293</f>
        <v/>
      </c>
      <c r="G54" s="5">
        <f>IF(COUNTIF('📋 Báo Cáo 49 Ngày'!H293:N293, "&lt;&gt;")&gt;0, "🖼️ Có kèm ảnh", "—")</f>
        <v/>
      </c>
      <c r="H54" s="7">
        <f>'📋 Báo Cáo 49 Ngày'!O293</f>
        <v/>
      </c>
      <c r="I54" s="7">
        <f>'📋 Báo Cáo 49 Ngày'!P293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Ngày'!G294</f>
        <v/>
      </c>
      <c r="D55" s="18">
        <f>'📋 Báo Cáo 49 Ngày'!I294</f>
        <v/>
      </c>
      <c r="E55" s="18">
        <f>'📋 Báo Cáo 49 Ngày'!K294</f>
        <v/>
      </c>
      <c r="F55" s="18">
        <f>'📋 Báo Cáo 49 Ngày'!M294</f>
        <v/>
      </c>
      <c r="G55" s="5">
        <f>IF(COUNTIF('📋 Báo Cáo 49 Ngày'!H294:N294, "&lt;&gt;")&gt;0, "🖼️ Có kèm ảnh", "—")</f>
        <v/>
      </c>
      <c r="H55" s="7">
        <f>'📋 Báo Cáo 49 Ngày'!O294</f>
        <v/>
      </c>
      <c r="I55" s="7">
        <f>'📋 Báo Cáo 49 Ngày'!P294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Ngày'!G295</f>
        <v/>
      </c>
      <c r="D56" s="18">
        <f>'📋 Báo Cáo 49 Ngày'!I295</f>
        <v/>
      </c>
      <c r="E56" s="18">
        <f>'📋 Báo Cáo 49 Ngày'!K295</f>
        <v/>
      </c>
      <c r="F56" s="18">
        <f>'📋 Báo Cáo 49 Ngày'!M295</f>
        <v/>
      </c>
      <c r="G56" s="5">
        <f>IF(COUNTIF('📋 Báo Cáo 49 Ngày'!H295:N295, "&lt;&gt;")&gt;0, "🖼️ Có kèm ảnh", "—")</f>
        <v/>
      </c>
      <c r="H56" s="7">
        <f>'📋 Báo Cáo 49 Ngày'!O295</f>
        <v/>
      </c>
      <c r="I56" s="7">
        <f>'📋 Báo Cáo 49 Ngày'!P295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Ngày'!G296</f>
        <v/>
      </c>
      <c r="D57" s="18">
        <f>'📋 Báo Cáo 49 Ngày'!I296</f>
        <v/>
      </c>
      <c r="E57" s="18">
        <f>'📋 Báo Cáo 49 Ngày'!K296</f>
        <v/>
      </c>
      <c r="F57" s="18">
        <f>'📋 Báo Cáo 49 Ngày'!M296</f>
        <v/>
      </c>
      <c r="G57" s="5">
        <f>IF(COUNTIF('📋 Báo Cáo 49 Ngày'!H296:N296, "&lt;&gt;")&gt;0, "🖼️ Có kèm ảnh", "—")</f>
        <v/>
      </c>
      <c r="H57" s="7">
        <f>'📋 Báo Cáo 49 Ngày'!O296</f>
        <v/>
      </c>
      <c r="I57" s="7">
        <f>'📋 Báo Cáo 49 Ngày'!P296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Ngày'!G297</f>
        <v/>
      </c>
      <c r="D58" s="18">
        <f>'📋 Báo Cáo 49 Ngày'!I297</f>
        <v/>
      </c>
      <c r="E58" s="18">
        <f>'📋 Báo Cáo 49 Ngày'!K297</f>
        <v/>
      </c>
      <c r="F58" s="18">
        <f>'📋 Báo Cáo 49 Ngày'!M297</f>
        <v/>
      </c>
      <c r="G58" s="5">
        <f>IF(COUNTIF('📋 Báo Cáo 49 Ngày'!H297:N297, "&lt;&gt;")&gt;0, "🖼️ Có kèm ảnh", "—")</f>
        <v/>
      </c>
      <c r="H58" s="7">
        <f>'📋 Báo Cáo 49 Ngày'!O297</f>
        <v/>
      </c>
      <c r="I58" s="7">
        <f>'📋 Báo Cáo 49 Ngày'!P297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Ngày'!G298</f>
        <v/>
      </c>
      <c r="D59" s="18">
        <f>'📋 Báo Cáo 49 Ngày'!I298</f>
        <v/>
      </c>
      <c r="E59" s="18">
        <f>'📋 Báo Cáo 49 Ngày'!K298</f>
        <v/>
      </c>
      <c r="F59" s="18">
        <f>'📋 Báo Cáo 49 Ngày'!M298</f>
        <v/>
      </c>
      <c r="G59" s="5">
        <f>IF(COUNTIF('📋 Báo Cáo 49 Ngày'!H298:N298, "&lt;&gt;")&gt;0, "🖼️ Có kèm ảnh", "—")</f>
        <v/>
      </c>
      <c r="H59" s="7">
        <f>'📋 Báo Cáo 49 Ngày'!O298</f>
        <v/>
      </c>
      <c r="I59" s="7">
        <f>'📋 Báo Cáo 49 Ngày'!P298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Ngày'!G299</f>
        <v/>
      </c>
      <c r="D60" s="18">
        <f>'📋 Báo Cáo 49 Ngày'!I299</f>
        <v/>
      </c>
      <c r="E60" s="18">
        <f>'📋 Báo Cáo 49 Ngày'!K299</f>
        <v/>
      </c>
      <c r="F60" s="18">
        <f>'📋 Báo Cáo 49 Ngày'!M299</f>
        <v/>
      </c>
      <c r="G60" s="5">
        <f>IF(COUNTIF('📋 Báo Cáo 49 Ngày'!H299:N299, "&lt;&gt;")&gt;0, "🖼️ Có kèm ảnh", "—")</f>
        <v/>
      </c>
      <c r="H60" s="7">
        <f>'📋 Báo Cáo 49 Ngày'!O299</f>
        <v/>
      </c>
      <c r="I60" s="7">
        <f>'📋 Báo Cáo 49 Ngày'!P299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Ngày'!G300</f>
        <v/>
      </c>
      <c r="D61" s="18">
        <f>'📋 Báo Cáo 49 Ngày'!I300</f>
        <v/>
      </c>
      <c r="E61" s="18">
        <f>'📋 Báo Cáo 49 Ngày'!K300</f>
        <v/>
      </c>
      <c r="F61" s="18">
        <f>'📋 Báo Cáo 49 Ngày'!M300</f>
        <v/>
      </c>
      <c r="G61" s="5">
        <f>IF(COUNTIF('📋 Báo Cáo 49 Ngày'!H300:N300, "&lt;&gt;")&gt;0, "🖼️ Có kèm ảnh", "—")</f>
        <v/>
      </c>
      <c r="H61" s="7">
        <f>'📋 Báo Cáo 49 Ngày'!O300</f>
        <v/>
      </c>
      <c r="I61" s="7">
        <f>'📋 Báo Cáo 49 Ngày'!P300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Ngày'!G301</f>
        <v/>
      </c>
      <c r="D62" s="18">
        <f>'📋 Báo Cáo 49 Ngày'!I301</f>
        <v/>
      </c>
      <c r="E62" s="18">
        <f>'📋 Báo Cáo 49 Ngày'!K301</f>
        <v/>
      </c>
      <c r="F62" s="18">
        <f>'📋 Báo Cáo 49 Ngày'!M301</f>
        <v/>
      </c>
      <c r="G62" s="5">
        <f>IF(COUNTIF('📋 Báo Cáo 49 Ngày'!H301:N301, "&lt;&gt;")&gt;0, "🖼️ Có kèm ảnh", "—")</f>
        <v/>
      </c>
      <c r="H62" s="7">
        <f>'📋 Báo Cáo 49 Ngày'!O301</f>
        <v/>
      </c>
      <c r="I62" s="7">
        <f>'📋 Báo Cáo 49 Ngày'!P301</f>
        <v/>
      </c>
      <c r="J62" s="18" t="inlineStr"/>
    </row>
    <row r="64">
      <c r="A64" s="20" t="inlineStr">
        <is>
          <t>📍 CHỦ NHẬT (11/10/2026) - NGÀY 34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Ngày'!G302</f>
        <v/>
      </c>
      <c r="D66" s="18">
        <f>'📋 Báo Cáo 49 Ngày'!I302</f>
        <v/>
      </c>
      <c r="E66" s="18">
        <f>'📋 Báo Cáo 49 Ngày'!K302</f>
        <v/>
      </c>
      <c r="F66" s="18">
        <f>'📋 Báo Cáo 49 Ngày'!M302</f>
        <v/>
      </c>
      <c r="G66" s="5">
        <f>IF(COUNTIF('📋 Báo Cáo 49 Ngày'!H302:N302, "&lt;&gt;")&gt;0, "🖼️ Có kèm ảnh", "—")</f>
        <v/>
      </c>
      <c r="H66" s="7">
        <f>'📋 Báo Cáo 49 Ngày'!O302</f>
        <v/>
      </c>
      <c r="I66" s="7">
        <f>'📋 Báo Cáo 49 Ngày'!P302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Ngày'!G303</f>
        <v/>
      </c>
      <c r="D67" s="18">
        <f>'📋 Báo Cáo 49 Ngày'!I303</f>
        <v/>
      </c>
      <c r="E67" s="18">
        <f>'📋 Báo Cáo 49 Ngày'!K303</f>
        <v/>
      </c>
      <c r="F67" s="18">
        <f>'📋 Báo Cáo 49 Ngày'!M303</f>
        <v/>
      </c>
      <c r="G67" s="5">
        <f>IF(COUNTIF('📋 Báo Cáo 49 Ngày'!H303:N303, "&lt;&gt;")&gt;0, "🖼️ Có kèm ảnh", "—")</f>
        <v/>
      </c>
      <c r="H67" s="7">
        <f>'📋 Báo Cáo 49 Ngày'!O303</f>
        <v/>
      </c>
      <c r="I67" s="7">
        <f>'📋 Báo Cáo 49 Ngày'!P303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Ngày'!G304</f>
        <v/>
      </c>
      <c r="D68" s="18">
        <f>'📋 Báo Cáo 49 Ngày'!I304</f>
        <v/>
      </c>
      <c r="E68" s="18">
        <f>'📋 Báo Cáo 49 Ngày'!K304</f>
        <v/>
      </c>
      <c r="F68" s="18">
        <f>'📋 Báo Cáo 49 Ngày'!M304</f>
        <v/>
      </c>
      <c r="G68" s="5">
        <f>IF(COUNTIF('📋 Báo Cáo 49 Ngày'!H304:N304, "&lt;&gt;")&gt;0, "🖼️ Có kèm ảnh", "—")</f>
        <v/>
      </c>
      <c r="H68" s="7">
        <f>'📋 Báo Cáo 49 Ngày'!O304</f>
        <v/>
      </c>
      <c r="I68" s="7">
        <f>'📋 Báo Cáo 49 Ngày'!P304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Ngày'!G305</f>
        <v/>
      </c>
      <c r="D69" s="18">
        <f>'📋 Báo Cáo 49 Ngày'!I305</f>
        <v/>
      </c>
      <c r="E69" s="18">
        <f>'📋 Báo Cáo 49 Ngày'!K305</f>
        <v/>
      </c>
      <c r="F69" s="18">
        <f>'📋 Báo Cáo 49 Ngày'!M305</f>
        <v/>
      </c>
      <c r="G69" s="5">
        <f>IF(COUNTIF('📋 Báo Cáo 49 Ngày'!H305:N305, "&lt;&gt;")&gt;0, "🖼️ Có kèm ảnh", "—")</f>
        <v/>
      </c>
      <c r="H69" s="7">
        <f>'📋 Báo Cáo 49 Ngày'!O305</f>
        <v/>
      </c>
      <c r="I69" s="7">
        <f>'📋 Báo Cáo 49 Ngày'!P305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Ngày'!G306</f>
        <v/>
      </c>
      <c r="D70" s="18">
        <f>'📋 Báo Cáo 49 Ngày'!I306</f>
        <v/>
      </c>
      <c r="E70" s="18">
        <f>'📋 Báo Cáo 49 Ngày'!K306</f>
        <v/>
      </c>
      <c r="F70" s="18">
        <f>'📋 Báo Cáo 49 Ngày'!M306</f>
        <v/>
      </c>
      <c r="G70" s="5">
        <f>IF(COUNTIF('📋 Báo Cáo 49 Ngày'!H306:N306, "&lt;&gt;")&gt;0, "🖼️ Có kèm ảnh", "—")</f>
        <v/>
      </c>
      <c r="H70" s="7">
        <f>'📋 Báo Cáo 49 Ngày'!O306</f>
        <v/>
      </c>
      <c r="I70" s="7">
        <f>'📋 Báo Cáo 49 Ngày'!P306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Ngày'!G307</f>
        <v/>
      </c>
      <c r="D71" s="18">
        <f>'📋 Báo Cáo 49 Ngày'!I307</f>
        <v/>
      </c>
      <c r="E71" s="18">
        <f>'📋 Báo Cáo 49 Ngày'!K307</f>
        <v/>
      </c>
      <c r="F71" s="18">
        <f>'📋 Báo Cáo 49 Ngày'!M307</f>
        <v/>
      </c>
      <c r="G71" s="5">
        <f>IF(COUNTIF('📋 Báo Cáo 49 Ngày'!H307:N307, "&lt;&gt;")&gt;0, "🖼️ Có kèm ảnh", "—")</f>
        <v/>
      </c>
      <c r="H71" s="7">
        <f>'📋 Báo Cáo 49 Ngày'!O307</f>
        <v/>
      </c>
      <c r="I71" s="7">
        <f>'📋 Báo Cáo 49 Ngày'!P307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Ngày'!G308</f>
        <v/>
      </c>
      <c r="D72" s="18">
        <f>'📋 Báo Cáo 49 Ngày'!I308</f>
        <v/>
      </c>
      <c r="E72" s="18">
        <f>'📋 Báo Cáo 49 Ngày'!K308</f>
        <v/>
      </c>
      <c r="F72" s="18">
        <f>'📋 Báo Cáo 49 Ngày'!M308</f>
        <v/>
      </c>
      <c r="G72" s="5">
        <f>IF(COUNTIF('📋 Báo Cáo 49 Ngày'!H308:N308, "&lt;&gt;")&gt;0, "🖼️ Có kèm ảnh", "—")</f>
        <v/>
      </c>
      <c r="H72" s="7">
        <f>'📋 Báo Cáo 49 Ngày'!O308</f>
        <v/>
      </c>
      <c r="I72" s="7">
        <f>'📋 Báo Cáo 49 Ngày'!P308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Ngày'!G309</f>
        <v/>
      </c>
      <c r="D73" s="18">
        <f>'📋 Báo Cáo 49 Ngày'!I309</f>
        <v/>
      </c>
      <c r="E73" s="18">
        <f>'📋 Báo Cáo 49 Ngày'!K309</f>
        <v/>
      </c>
      <c r="F73" s="18">
        <f>'📋 Báo Cáo 49 Ngày'!M309</f>
        <v/>
      </c>
      <c r="G73" s="5">
        <f>IF(COUNTIF('📋 Báo Cáo 49 Ngày'!H309:N309, "&lt;&gt;")&gt;0, "🖼️ Có kèm ảnh", "—")</f>
        <v/>
      </c>
      <c r="H73" s="7">
        <f>'📋 Báo Cáo 49 Ngày'!O309</f>
        <v/>
      </c>
      <c r="I73" s="7">
        <f>'📋 Báo Cáo 49 Ngày'!P309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Ngày'!G310</f>
        <v/>
      </c>
      <c r="D74" s="18">
        <f>'📋 Báo Cáo 49 Ngày'!I310</f>
        <v/>
      </c>
      <c r="E74" s="18">
        <f>'📋 Báo Cáo 49 Ngày'!K310</f>
        <v/>
      </c>
      <c r="F74" s="18">
        <f>'📋 Báo Cáo 49 Ngày'!M310</f>
        <v/>
      </c>
      <c r="G74" s="5">
        <f>IF(COUNTIF('📋 Báo Cáo 49 Ngày'!H310:N310, "&lt;&gt;")&gt;0, "🖼️ Có kèm ảnh", "—")</f>
        <v/>
      </c>
      <c r="H74" s="7">
        <f>'📋 Báo Cáo 49 Ngày'!O310</f>
        <v/>
      </c>
      <c r="I74" s="7">
        <f>'📋 Báo Cáo 49 Ngày'!P310</f>
        <v/>
      </c>
      <c r="J74" s="18" t="inlineStr"/>
    </row>
    <row r="76">
      <c r="A76" s="20" t="inlineStr">
        <is>
          <t>📍 THỨ 2 (12/10/2026) - NGÀY 35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Ngày'!G311</f>
        <v/>
      </c>
      <c r="D78" s="18">
        <f>'📋 Báo Cáo 49 Ngày'!I311</f>
        <v/>
      </c>
      <c r="E78" s="18">
        <f>'📋 Báo Cáo 49 Ngày'!K311</f>
        <v/>
      </c>
      <c r="F78" s="18">
        <f>'📋 Báo Cáo 49 Ngày'!M311</f>
        <v/>
      </c>
      <c r="G78" s="5">
        <f>IF(COUNTIF('📋 Báo Cáo 49 Ngày'!H311:N311, "&lt;&gt;")&gt;0, "🖼️ Có kèm ảnh", "—")</f>
        <v/>
      </c>
      <c r="H78" s="7">
        <f>'📋 Báo Cáo 49 Ngày'!O311</f>
        <v/>
      </c>
      <c r="I78" s="7">
        <f>'📋 Báo Cáo 49 Ngày'!P311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Ngày'!G312</f>
        <v/>
      </c>
      <c r="D79" s="18">
        <f>'📋 Báo Cáo 49 Ngày'!I312</f>
        <v/>
      </c>
      <c r="E79" s="18">
        <f>'📋 Báo Cáo 49 Ngày'!K312</f>
        <v/>
      </c>
      <c r="F79" s="18">
        <f>'📋 Báo Cáo 49 Ngày'!M312</f>
        <v/>
      </c>
      <c r="G79" s="5">
        <f>IF(COUNTIF('📋 Báo Cáo 49 Ngày'!H312:N312, "&lt;&gt;")&gt;0, "🖼️ Có kèm ảnh", "—")</f>
        <v/>
      </c>
      <c r="H79" s="7">
        <f>'📋 Báo Cáo 49 Ngày'!O312</f>
        <v/>
      </c>
      <c r="I79" s="7">
        <f>'📋 Báo Cáo 49 Ngày'!P312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Ngày'!G313</f>
        <v/>
      </c>
      <c r="D80" s="18">
        <f>'📋 Báo Cáo 49 Ngày'!I313</f>
        <v/>
      </c>
      <c r="E80" s="18">
        <f>'📋 Báo Cáo 49 Ngày'!K313</f>
        <v/>
      </c>
      <c r="F80" s="18">
        <f>'📋 Báo Cáo 49 Ngày'!M313</f>
        <v/>
      </c>
      <c r="G80" s="5">
        <f>IF(COUNTIF('📋 Báo Cáo 49 Ngày'!H313:N313, "&lt;&gt;")&gt;0, "🖼️ Có kèm ảnh", "—")</f>
        <v/>
      </c>
      <c r="H80" s="7">
        <f>'📋 Báo Cáo 49 Ngày'!O313</f>
        <v/>
      </c>
      <c r="I80" s="7">
        <f>'📋 Báo Cáo 49 Ngày'!P313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Ngày'!G314</f>
        <v/>
      </c>
      <c r="D81" s="18">
        <f>'📋 Báo Cáo 49 Ngày'!I314</f>
        <v/>
      </c>
      <c r="E81" s="18">
        <f>'📋 Báo Cáo 49 Ngày'!K314</f>
        <v/>
      </c>
      <c r="F81" s="18">
        <f>'📋 Báo Cáo 49 Ngày'!M314</f>
        <v/>
      </c>
      <c r="G81" s="5">
        <f>IF(COUNTIF('📋 Báo Cáo 49 Ngày'!H314:N314, "&lt;&gt;")&gt;0, "🖼️ Có kèm ảnh", "—")</f>
        <v/>
      </c>
      <c r="H81" s="7">
        <f>'📋 Báo Cáo 49 Ngày'!O314</f>
        <v/>
      </c>
      <c r="I81" s="7">
        <f>'📋 Báo Cáo 49 Ngày'!P314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Ngày'!G315</f>
        <v/>
      </c>
      <c r="D82" s="18">
        <f>'📋 Báo Cáo 49 Ngày'!I315</f>
        <v/>
      </c>
      <c r="E82" s="18">
        <f>'📋 Báo Cáo 49 Ngày'!K315</f>
        <v/>
      </c>
      <c r="F82" s="18">
        <f>'📋 Báo Cáo 49 Ngày'!M315</f>
        <v/>
      </c>
      <c r="G82" s="5">
        <f>IF(COUNTIF('📋 Báo Cáo 49 Ngày'!H315:N315, "&lt;&gt;")&gt;0, "🖼️ Có kèm ảnh", "—")</f>
        <v/>
      </c>
      <c r="H82" s="7">
        <f>'📋 Báo Cáo 49 Ngày'!O315</f>
        <v/>
      </c>
      <c r="I82" s="7">
        <f>'📋 Báo Cáo 49 Ngày'!P315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Ngày'!G316</f>
        <v/>
      </c>
      <c r="D83" s="18">
        <f>'📋 Báo Cáo 49 Ngày'!I316</f>
        <v/>
      </c>
      <c r="E83" s="18">
        <f>'📋 Báo Cáo 49 Ngày'!K316</f>
        <v/>
      </c>
      <c r="F83" s="18">
        <f>'📋 Báo Cáo 49 Ngày'!M316</f>
        <v/>
      </c>
      <c r="G83" s="5">
        <f>IF(COUNTIF('📋 Báo Cáo 49 Ngày'!H316:N316, "&lt;&gt;")&gt;0, "🖼️ Có kèm ảnh", "—")</f>
        <v/>
      </c>
      <c r="H83" s="7">
        <f>'📋 Báo Cáo 49 Ngày'!O316</f>
        <v/>
      </c>
      <c r="I83" s="7">
        <f>'📋 Báo Cáo 49 Ngày'!P316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Ngày'!G317</f>
        <v/>
      </c>
      <c r="D84" s="18">
        <f>'📋 Báo Cáo 49 Ngày'!I317</f>
        <v/>
      </c>
      <c r="E84" s="18">
        <f>'📋 Báo Cáo 49 Ngày'!K317</f>
        <v/>
      </c>
      <c r="F84" s="18">
        <f>'📋 Báo Cáo 49 Ngày'!M317</f>
        <v/>
      </c>
      <c r="G84" s="5">
        <f>IF(COUNTIF('📋 Báo Cáo 49 Ngày'!H317:N317, "&lt;&gt;")&gt;0, "🖼️ Có kèm ảnh", "—")</f>
        <v/>
      </c>
      <c r="H84" s="7">
        <f>'📋 Báo Cáo 49 Ngày'!O317</f>
        <v/>
      </c>
      <c r="I84" s="7">
        <f>'📋 Báo Cáo 49 Ngày'!P317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Ngày'!G318</f>
        <v/>
      </c>
      <c r="D85" s="18">
        <f>'📋 Báo Cáo 49 Ngày'!I318</f>
        <v/>
      </c>
      <c r="E85" s="18">
        <f>'📋 Báo Cáo 49 Ngày'!K318</f>
        <v/>
      </c>
      <c r="F85" s="18">
        <f>'📋 Báo Cáo 49 Ngày'!M318</f>
        <v/>
      </c>
      <c r="G85" s="5">
        <f>IF(COUNTIF('📋 Báo Cáo 49 Ngày'!H318:N318, "&lt;&gt;")&gt;0, "🖼️ Có kèm ảnh", "—")</f>
        <v/>
      </c>
      <c r="H85" s="7">
        <f>'📋 Báo Cáo 49 Ngày'!O318</f>
        <v/>
      </c>
      <c r="I85" s="7">
        <f>'📋 Báo Cáo 49 Ngày'!P318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Ngày'!G319</f>
        <v/>
      </c>
      <c r="D86" s="18">
        <f>'📋 Báo Cáo 49 Ngày'!I319</f>
        <v/>
      </c>
      <c r="E86" s="18">
        <f>'📋 Báo Cáo 49 Ngày'!K319</f>
        <v/>
      </c>
      <c r="F86" s="18">
        <f>'📋 Báo Cáo 49 Ngày'!M319</f>
        <v/>
      </c>
      <c r="G86" s="5">
        <f>IF(COUNTIF('📋 Báo Cáo 49 Ngày'!H319:N319, "&lt;&gt;")&gt;0, "🖼️ Có kèm ảnh", "—")</f>
        <v/>
      </c>
      <c r="H86" s="7">
        <f>'📋 Báo Cáo 49 Ngày'!O319</f>
        <v/>
      </c>
      <c r="I86" s="7">
        <f>'📋 Báo Cáo 49 Ngày'!P319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6 (13/10 - 19/10/2026) - BÁO CÁO 9 THÀNH VIÊN</t>
        </is>
      </c>
    </row>
    <row r="2"/>
    <row r="4">
      <c r="A4" s="20" t="inlineStr">
        <is>
          <t>📍 THỨ 3 (13/10/2026) - NGÀY 36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Ngày'!G320</f>
        <v/>
      </c>
      <c r="D6" s="18">
        <f>'📋 Báo Cáo 49 Ngày'!I320</f>
        <v/>
      </c>
      <c r="E6" s="18">
        <f>'📋 Báo Cáo 49 Ngày'!K320</f>
        <v/>
      </c>
      <c r="F6" s="18">
        <f>'📋 Báo Cáo 49 Ngày'!M320</f>
        <v/>
      </c>
      <c r="G6" s="5">
        <f>IF(COUNTIF('📋 Báo Cáo 49 Ngày'!H320:N320, "&lt;&gt;")&gt;0, "🖼️ Có kèm ảnh", "—")</f>
        <v/>
      </c>
      <c r="H6" s="7">
        <f>'📋 Báo Cáo 49 Ngày'!O320</f>
        <v/>
      </c>
      <c r="I6" s="7">
        <f>'📋 Báo Cáo 49 Ngày'!P320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Ngày'!G321</f>
        <v/>
      </c>
      <c r="D7" s="18">
        <f>'📋 Báo Cáo 49 Ngày'!I321</f>
        <v/>
      </c>
      <c r="E7" s="18">
        <f>'📋 Báo Cáo 49 Ngày'!K321</f>
        <v/>
      </c>
      <c r="F7" s="18">
        <f>'📋 Báo Cáo 49 Ngày'!M321</f>
        <v/>
      </c>
      <c r="G7" s="5">
        <f>IF(COUNTIF('📋 Báo Cáo 49 Ngày'!H321:N321, "&lt;&gt;")&gt;0, "🖼️ Có kèm ảnh", "—")</f>
        <v/>
      </c>
      <c r="H7" s="7">
        <f>'📋 Báo Cáo 49 Ngày'!O321</f>
        <v/>
      </c>
      <c r="I7" s="7">
        <f>'📋 Báo Cáo 49 Ngày'!P321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Ngày'!G322</f>
        <v/>
      </c>
      <c r="D8" s="18">
        <f>'📋 Báo Cáo 49 Ngày'!I322</f>
        <v/>
      </c>
      <c r="E8" s="18">
        <f>'📋 Báo Cáo 49 Ngày'!K322</f>
        <v/>
      </c>
      <c r="F8" s="18">
        <f>'📋 Báo Cáo 49 Ngày'!M322</f>
        <v/>
      </c>
      <c r="G8" s="5">
        <f>IF(COUNTIF('📋 Báo Cáo 49 Ngày'!H322:N322, "&lt;&gt;")&gt;0, "🖼️ Có kèm ảnh", "—")</f>
        <v/>
      </c>
      <c r="H8" s="7">
        <f>'📋 Báo Cáo 49 Ngày'!O322</f>
        <v/>
      </c>
      <c r="I8" s="7">
        <f>'📋 Báo Cáo 49 Ngày'!P322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Ngày'!G323</f>
        <v/>
      </c>
      <c r="D9" s="18">
        <f>'📋 Báo Cáo 49 Ngày'!I323</f>
        <v/>
      </c>
      <c r="E9" s="18">
        <f>'📋 Báo Cáo 49 Ngày'!K323</f>
        <v/>
      </c>
      <c r="F9" s="18">
        <f>'📋 Báo Cáo 49 Ngày'!M323</f>
        <v/>
      </c>
      <c r="G9" s="5">
        <f>IF(COUNTIF('📋 Báo Cáo 49 Ngày'!H323:N323, "&lt;&gt;")&gt;0, "🖼️ Có kèm ảnh", "—")</f>
        <v/>
      </c>
      <c r="H9" s="7">
        <f>'📋 Báo Cáo 49 Ngày'!O323</f>
        <v/>
      </c>
      <c r="I9" s="7">
        <f>'📋 Báo Cáo 49 Ngày'!P323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Ngày'!G324</f>
        <v/>
      </c>
      <c r="D10" s="18">
        <f>'📋 Báo Cáo 49 Ngày'!I324</f>
        <v/>
      </c>
      <c r="E10" s="18">
        <f>'📋 Báo Cáo 49 Ngày'!K324</f>
        <v/>
      </c>
      <c r="F10" s="18">
        <f>'📋 Báo Cáo 49 Ngày'!M324</f>
        <v/>
      </c>
      <c r="G10" s="5">
        <f>IF(COUNTIF('📋 Báo Cáo 49 Ngày'!H324:N324, "&lt;&gt;")&gt;0, "🖼️ Có kèm ảnh", "—")</f>
        <v/>
      </c>
      <c r="H10" s="7">
        <f>'📋 Báo Cáo 49 Ngày'!O324</f>
        <v/>
      </c>
      <c r="I10" s="7">
        <f>'📋 Báo Cáo 49 Ngày'!P324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Ngày'!G325</f>
        <v/>
      </c>
      <c r="D11" s="18">
        <f>'📋 Báo Cáo 49 Ngày'!I325</f>
        <v/>
      </c>
      <c r="E11" s="18">
        <f>'📋 Báo Cáo 49 Ngày'!K325</f>
        <v/>
      </c>
      <c r="F11" s="18">
        <f>'📋 Báo Cáo 49 Ngày'!M325</f>
        <v/>
      </c>
      <c r="G11" s="5">
        <f>IF(COUNTIF('📋 Báo Cáo 49 Ngày'!H325:N325, "&lt;&gt;")&gt;0, "🖼️ Có kèm ảnh", "—")</f>
        <v/>
      </c>
      <c r="H11" s="7">
        <f>'📋 Báo Cáo 49 Ngày'!O325</f>
        <v/>
      </c>
      <c r="I11" s="7">
        <f>'📋 Báo Cáo 49 Ngày'!P325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Ngày'!G326</f>
        <v/>
      </c>
      <c r="D12" s="18">
        <f>'📋 Báo Cáo 49 Ngày'!I326</f>
        <v/>
      </c>
      <c r="E12" s="18">
        <f>'📋 Báo Cáo 49 Ngày'!K326</f>
        <v/>
      </c>
      <c r="F12" s="18">
        <f>'📋 Báo Cáo 49 Ngày'!M326</f>
        <v/>
      </c>
      <c r="G12" s="5">
        <f>IF(COUNTIF('📋 Báo Cáo 49 Ngày'!H326:N326, "&lt;&gt;")&gt;0, "🖼️ Có kèm ảnh", "—")</f>
        <v/>
      </c>
      <c r="H12" s="7">
        <f>'📋 Báo Cáo 49 Ngày'!O326</f>
        <v/>
      </c>
      <c r="I12" s="7">
        <f>'📋 Báo Cáo 49 Ngày'!P326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Ngày'!G327</f>
        <v/>
      </c>
      <c r="D13" s="18">
        <f>'📋 Báo Cáo 49 Ngày'!I327</f>
        <v/>
      </c>
      <c r="E13" s="18">
        <f>'📋 Báo Cáo 49 Ngày'!K327</f>
        <v/>
      </c>
      <c r="F13" s="18">
        <f>'📋 Báo Cáo 49 Ngày'!M327</f>
        <v/>
      </c>
      <c r="G13" s="5">
        <f>IF(COUNTIF('📋 Báo Cáo 49 Ngày'!H327:N327, "&lt;&gt;")&gt;0, "🖼️ Có kèm ảnh", "—")</f>
        <v/>
      </c>
      <c r="H13" s="7">
        <f>'📋 Báo Cáo 49 Ngày'!O327</f>
        <v/>
      </c>
      <c r="I13" s="7">
        <f>'📋 Báo Cáo 49 Ngày'!P327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Ngày'!G328</f>
        <v/>
      </c>
      <c r="D14" s="18">
        <f>'📋 Báo Cáo 49 Ngày'!I328</f>
        <v/>
      </c>
      <c r="E14" s="18">
        <f>'📋 Báo Cáo 49 Ngày'!K328</f>
        <v/>
      </c>
      <c r="F14" s="18">
        <f>'📋 Báo Cáo 49 Ngày'!M328</f>
        <v/>
      </c>
      <c r="G14" s="5">
        <f>IF(COUNTIF('📋 Báo Cáo 49 Ngày'!H328:N328, "&lt;&gt;")&gt;0, "🖼️ Có kèm ảnh", "—")</f>
        <v/>
      </c>
      <c r="H14" s="7">
        <f>'📋 Báo Cáo 49 Ngày'!O328</f>
        <v/>
      </c>
      <c r="I14" s="7">
        <f>'📋 Báo Cáo 49 Ngày'!P328</f>
        <v/>
      </c>
      <c r="J14" s="18" t="inlineStr"/>
    </row>
    <row r="16">
      <c r="A16" s="20" t="inlineStr">
        <is>
          <t>📍 THỨ 4 (14/10/2026) - NGÀY 37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Ngày'!G329</f>
        <v/>
      </c>
      <c r="D18" s="18">
        <f>'📋 Báo Cáo 49 Ngày'!I329</f>
        <v/>
      </c>
      <c r="E18" s="18">
        <f>'📋 Báo Cáo 49 Ngày'!K329</f>
        <v/>
      </c>
      <c r="F18" s="18">
        <f>'📋 Báo Cáo 49 Ngày'!M329</f>
        <v/>
      </c>
      <c r="G18" s="5">
        <f>IF(COUNTIF('📋 Báo Cáo 49 Ngày'!H329:N329, "&lt;&gt;")&gt;0, "🖼️ Có kèm ảnh", "—")</f>
        <v/>
      </c>
      <c r="H18" s="7">
        <f>'📋 Báo Cáo 49 Ngày'!O329</f>
        <v/>
      </c>
      <c r="I18" s="7">
        <f>'📋 Báo Cáo 49 Ngày'!P329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Ngày'!G330</f>
        <v/>
      </c>
      <c r="D19" s="18">
        <f>'📋 Báo Cáo 49 Ngày'!I330</f>
        <v/>
      </c>
      <c r="E19" s="18">
        <f>'📋 Báo Cáo 49 Ngày'!K330</f>
        <v/>
      </c>
      <c r="F19" s="18">
        <f>'📋 Báo Cáo 49 Ngày'!M330</f>
        <v/>
      </c>
      <c r="G19" s="5">
        <f>IF(COUNTIF('📋 Báo Cáo 49 Ngày'!H330:N330, "&lt;&gt;")&gt;0, "🖼️ Có kèm ảnh", "—")</f>
        <v/>
      </c>
      <c r="H19" s="7">
        <f>'📋 Báo Cáo 49 Ngày'!O330</f>
        <v/>
      </c>
      <c r="I19" s="7">
        <f>'📋 Báo Cáo 49 Ngày'!P330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Ngày'!G331</f>
        <v/>
      </c>
      <c r="D20" s="18">
        <f>'📋 Báo Cáo 49 Ngày'!I331</f>
        <v/>
      </c>
      <c r="E20" s="18">
        <f>'📋 Báo Cáo 49 Ngày'!K331</f>
        <v/>
      </c>
      <c r="F20" s="18">
        <f>'📋 Báo Cáo 49 Ngày'!M331</f>
        <v/>
      </c>
      <c r="G20" s="5">
        <f>IF(COUNTIF('📋 Báo Cáo 49 Ngày'!H331:N331, "&lt;&gt;")&gt;0, "🖼️ Có kèm ảnh", "—")</f>
        <v/>
      </c>
      <c r="H20" s="7">
        <f>'📋 Báo Cáo 49 Ngày'!O331</f>
        <v/>
      </c>
      <c r="I20" s="7">
        <f>'📋 Báo Cáo 49 Ngày'!P331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Ngày'!G332</f>
        <v/>
      </c>
      <c r="D21" s="18">
        <f>'📋 Báo Cáo 49 Ngày'!I332</f>
        <v/>
      </c>
      <c r="E21" s="18">
        <f>'📋 Báo Cáo 49 Ngày'!K332</f>
        <v/>
      </c>
      <c r="F21" s="18">
        <f>'📋 Báo Cáo 49 Ngày'!M332</f>
        <v/>
      </c>
      <c r="G21" s="5">
        <f>IF(COUNTIF('📋 Báo Cáo 49 Ngày'!H332:N332, "&lt;&gt;")&gt;0, "🖼️ Có kèm ảnh", "—")</f>
        <v/>
      </c>
      <c r="H21" s="7">
        <f>'📋 Báo Cáo 49 Ngày'!O332</f>
        <v/>
      </c>
      <c r="I21" s="7">
        <f>'📋 Báo Cáo 49 Ngày'!P332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Ngày'!G333</f>
        <v/>
      </c>
      <c r="D22" s="18">
        <f>'📋 Báo Cáo 49 Ngày'!I333</f>
        <v/>
      </c>
      <c r="E22" s="18">
        <f>'📋 Báo Cáo 49 Ngày'!K333</f>
        <v/>
      </c>
      <c r="F22" s="18">
        <f>'📋 Báo Cáo 49 Ngày'!M333</f>
        <v/>
      </c>
      <c r="G22" s="5">
        <f>IF(COUNTIF('📋 Báo Cáo 49 Ngày'!H333:N333, "&lt;&gt;")&gt;0, "🖼️ Có kèm ảnh", "—")</f>
        <v/>
      </c>
      <c r="H22" s="7">
        <f>'📋 Báo Cáo 49 Ngày'!O333</f>
        <v/>
      </c>
      <c r="I22" s="7">
        <f>'📋 Báo Cáo 49 Ngày'!P333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Ngày'!G334</f>
        <v/>
      </c>
      <c r="D23" s="18">
        <f>'📋 Báo Cáo 49 Ngày'!I334</f>
        <v/>
      </c>
      <c r="E23" s="18">
        <f>'📋 Báo Cáo 49 Ngày'!K334</f>
        <v/>
      </c>
      <c r="F23" s="18">
        <f>'📋 Báo Cáo 49 Ngày'!M334</f>
        <v/>
      </c>
      <c r="G23" s="5">
        <f>IF(COUNTIF('📋 Báo Cáo 49 Ngày'!H334:N334, "&lt;&gt;")&gt;0, "🖼️ Có kèm ảnh", "—")</f>
        <v/>
      </c>
      <c r="H23" s="7">
        <f>'📋 Báo Cáo 49 Ngày'!O334</f>
        <v/>
      </c>
      <c r="I23" s="7">
        <f>'📋 Báo Cáo 49 Ngày'!P334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Ngày'!G335</f>
        <v/>
      </c>
      <c r="D24" s="18">
        <f>'📋 Báo Cáo 49 Ngày'!I335</f>
        <v/>
      </c>
      <c r="E24" s="18">
        <f>'📋 Báo Cáo 49 Ngày'!K335</f>
        <v/>
      </c>
      <c r="F24" s="18">
        <f>'📋 Báo Cáo 49 Ngày'!M335</f>
        <v/>
      </c>
      <c r="G24" s="5">
        <f>IF(COUNTIF('📋 Báo Cáo 49 Ngày'!H335:N335, "&lt;&gt;")&gt;0, "🖼️ Có kèm ảnh", "—")</f>
        <v/>
      </c>
      <c r="H24" s="7">
        <f>'📋 Báo Cáo 49 Ngày'!O335</f>
        <v/>
      </c>
      <c r="I24" s="7">
        <f>'📋 Báo Cáo 49 Ngày'!P335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Ngày'!G336</f>
        <v/>
      </c>
      <c r="D25" s="18">
        <f>'📋 Báo Cáo 49 Ngày'!I336</f>
        <v/>
      </c>
      <c r="E25" s="18">
        <f>'📋 Báo Cáo 49 Ngày'!K336</f>
        <v/>
      </c>
      <c r="F25" s="18">
        <f>'📋 Báo Cáo 49 Ngày'!M336</f>
        <v/>
      </c>
      <c r="G25" s="5">
        <f>IF(COUNTIF('📋 Báo Cáo 49 Ngày'!H336:N336, "&lt;&gt;")&gt;0, "🖼️ Có kèm ảnh", "—")</f>
        <v/>
      </c>
      <c r="H25" s="7">
        <f>'📋 Báo Cáo 49 Ngày'!O336</f>
        <v/>
      </c>
      <c r="I25" s="7">
        <f>'📋 Báo Cáo 49 Ngày'!P336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Ngày'!G337</f>
        <v/>
      </c>
      <c r="D26" s="18">
        <f>'📋 Báo Cáo 49 Ngày'!I337</f>
        <v/>
      </c>
      <c r="E26" s="18">
        <f>'📋 Báo Cáo 49 Ngày'!K337</f>
        <v/>
      </c>
      <c r="F26" s="18">
        <f>'📋 Báo Cáo 49 Ngày'!M337</f>
        <v/>
      </c>
      <c r="G26" s="5">
        <f>IF(COUNTIF('📋 Báo Cáo 49 Ngày'!H337:N337, "&lt;&gt;")&gt;0, "🖼️ Có kèm ảnh", "—")</f>
        <v/>
      </c>
      <c r="H26" s="7">
        <f>'📋 Báo Cáo 49 Ngày'!O337</f>
        <v/>
      </c>
      <c r="I26" s="7">
        <f>'📋 Báo Cáo 49 Ngày'!P337</f>
        <v/>
      </c>
      <c r="J26" s="18" t="inlineStr"/>
    </row>
    <row r="28">
      <c r="A28" s="20" t="inlineStr">
        <is>
          <t>📍 THỨ 5 (15/10/2026) - NGÀY 38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Ngày'!G338</f>
        <v/>
      </c>
      <c r="D30" s="18">
        <f>'📋 Báo Cáo 49 Ngày'!I338</f>
        <v/>
      </c>
      <c r="E30" s="18">
        <f>'📋 Báo Cáo 49 Ngày'!K338</f>
        <v/>
      </c>
      <c r="F30" s="18">
        <f>'📋 Báo Cáo 49 Ngày'!M338</f>
        <v/>
      </c>
      <c r="G30" s="5">
        <f>IF(COUNTIF('📋 Báo Cáo 49 Ngày'!H338:N338, "&lt;&gt;")&gt;0, "🖼️ Có kèm ảnh", "—")</f>
        <v/>
      </c>
      <c r="H30" s="7">
        <f>'📋 Báo Cáo 49 Ngày'!O338</f>
        <v/>
      </c>
      <c r="I30" s="7">
        <f>'📋 Báo Cáo 49 Ngày'!P338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Ngày'!G339</f>
        <v/>
      </c>
      <c r="D31" s="18">
        <f>'📋 Báo Cáo 49 Ngày'!I339</f>
        <v/>
      </c>
      <c r="E31" s="18">
        <f>'📋 Báo Cáo 49 Ngày'!K339</f>
        <v/>
      </c>
      <c r="F31" s="18">
        <f>'📋 Báo Cáo 49 Ngày'!M339</f>
        <v/>
      </c>
      <c r="G31" s="5">
        <f>IF(COUNTIF('📋 Báo Cáo 49 Ngày'!H339:N339, "&lt;&gt;")&gt;0, "🖼️ Có kèm ảnh", "—")</f>
        <v/>
      </c>
      <c r="H31" s="7">
        <f>'📋 Báo Cáo 49 Ngày'!O339</f>
        <v/>
      </c>
      <c r="I31" s="7">
        <f>'📋 Báo Cáo 49 Ngày'!P339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Ngày'!G340</f>
        <v/>
      </c>
      <c r="D32" s="18">
        <f>'📋 Báo Cáo 49 Ngày'!I340</f>
        <v/>
      </c>
      <c r="E32" s="18">
        <f>'📋 Báo Cáo 49 Ngày'!K340</f>
        <v/>
      </c>
      <c r="F32" s="18">
        <f>'📋 Báo Cáo 49 Ngày'!M340</f>
        <v/>
      </c>
      <c r="G32" s="5">
        <f>IF(COUNTIF('📋 Báo Cáo 49 Ngày'!H340:N340, "&lt;&gt;")&gt;0, "🖼️ Có kèm ảnh", "—")</f>
        <v/>
      </c>
      <c r="H32" s="7">
        <f>'📋 Báo Cáo 49 Ngày'!O340</f>
        <v/>
      </c>
      <c r="I32" s="7">
        <f>'📋 Báo Cáo 49 Ngày'!P340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Ngày'!G341</f>
        <v/>
      </c>
      <c r="D33" s="18">
        <f>'📋 Báo Cáo 49 Ngày'!I341</f>
        <v/>
      </c>
      <c r="E33" s="18">
        <f>'📋 Báo Cáo 49 Ngày'!K341</f>
        <v/>
      </c>
      <c r="F33" s="18">
        <f>'📋 Báo Cáo 49 Ngày'!M341</f>
        <v/>
      </c>
      <c r="G33" s="5">
        <f>IF(COUNTIF('📋 Báo Cáo 49 Ngày'!H341:N341, "&lt;&gt;")&gt;0, "🖼️ Có kèm ảnh", "—")</f>
        <v/>
      </c>
      <c r="H33" s="7">
        <f>'📋 Báo Cáo 49 Ngày'!O341</f>
        <v/>
      </c>
      <c r="I33" s="7">
        <f>'📋 Báo Cáo 49 Ngày'!P341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Ngày'!G342</f>
        <v/>
      </c>
      <c r="D34" s="18">
        <f>'📋 Báo Cáo 49 Ngày'!I342</f>
        <v/>
      </c>
      <c r="E34" s="18">
        <f>'📋 Báo Cáo 49 Ngày'!K342</f>
        <v/>
      </c>
      <c r="F34" s="18">
        <f>'📋 Báo Cáo 49 Ngày'!M342</f>
        <v/>
      </c>
      <c r="G34" s="5">
        <f>IF(COUNTIF('📋 Báo Cáo 49 Ngày'!H342:N342, "&lt;&gt;")&gt;0, "🖼️ Có kèm ảnh", "—")</f>
        <v/>
      </c>
      <c r="H34" s="7">
        <f>'📋 Báo Cáo 49 Ngày'!O342</f>
        <v/>
      </c>
      <c r="I34" s="7">
        <f>'📋 Báo Cáo 49 Ngày'!P342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Ngày'!G343</f>
        <v/>
      </c>
      <c r="D35" s="18">
        <f>'📋 Báo Cáo 49 Ngày'!I343</f>
        <v/>
      </c>
      <c r="E35" s="18">
        <f>'📋 Báo Cáo 49 Ngày'!K343</f>
        <v/>
      </c>
      <c r="F35" s="18">
        <f>'📋 Báo Cáo 49 Ngày'!M343</f>
        <v/>
      </c>
      <c r="G35" s="5">
        <f>IF(COUNTIF('📋 Báo Cáo 49 Ngày'!H343:N343, "&lt;&gt;")&gt;0, "🖼️ Có kèm ảnh", "—")</f>
        <v/>
      </c>
      <c r="H35" s="7">
        <f>'📋 Báo Cáo 49 Ngày'!O343</f>
        <v/>
      </c>
      <c r="I35" s="7">
        <f>'📋 Báo Cáo 49 Ngày'!P343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Ngày'!G344</f>
        <v/>
      </c>
      <c r="D36" s="18">
        <f>'📋 Báo Cáo 49 Ngày'!I344</f>
        <v/>
      </c>
      <c r="E36" s="18">
        <f>'📋 Báo Cáo 49 Ngày'!K344</f>
        <v/>
      </c>
      <c r="F36" s="18">
        <f>'📋 Báo Cáo 49 Ngày'!M344</f>
        <v/>
      </c>
      <c r="G36" s="5">
        <f>IF(COUNTIF('📋 Báo Cáo 49 Ngày'!H344:N344, "&lt;&gt;")&gt;0, "🖼️ Có kèm ảnh", "—")</f>
        <v/>
      </c>
      <c r="H36" s="7">
        <f>'📋 Báo Cáo 49 Ngày'!O344</f>
        <v/>
      </c>
      <c r="I36" s="7">
        <f>'📋 Báo Cáo 49 Ngày'!P344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Ngày'!G345</f>
        <v/>
      </c>
      <c r="D37" s="18">
        <f>'📋 Báo Cáo 49 Ngày'!I345</f>
        <v/>
      </c>
      <c r="E37" s="18">
        <f>'📋 Báo Cáo 49 Ngày'!K345</f>
        <v/>
      </c>
      <c r="F37" s="18">
        <f>'📋 Báo Cáo 49 Ngày'!M345</f>
        <v/>
      </c>
      <c r="G37" s="5">
        <f>IF(COUNTIF('📋 Báo Cáo 49 Ngày'!H345:N345, "&lt;&gt;")&gt;0, "🖼️ Có kèm ảnh", "—")</f>
        <v/>
      </c>
      <c r="H37" s="7">
        <f>'📋 Báo Cáo 49 Ngày'!O345</f>
        <v/>
      </c>
      <c r="I37" s="7">
        <f>'📋 Báo Cáo 49 Ngày'!P345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Ngày'!G346</f>
        <v/>
      </c>
      <c r="D38" s="18">
        <f>'📋 Báo Cáo 49 Ngày'!I346</f>
        <v/>
      </c>
      <c r="E38" s="18">
        <f>'📋 Báo Cáo 49 Ngày'!K346</f>
        <v/>
      </c>
      <c r="F38" s="18">
        <f>'📋 Báo Cáo 49 Ngày'!M346</f>
        <v/>
      </c>
      <c r="G38" s="5">
        <f>IF(COUNTIF('📋 Báo Cáo 49 Ngày'!H346:N346, "&lt;&gt;")&gt;0, "🖼️ Có kèm ảnh", "—")</f>
        <v/>
      </c>
      <c r="H38" s="7">
        <f>'📋 Báo Cáo 49 Ngày'!O346</f>
        <v/>
      </c>
      <c r="I38" s="7">
        <f>'📋 Báo Cáo 49 Ngày'!P346</f>
        <v/>
      </c>
      <c r="J38" s="18" t="inlineStr"/>
    </row>
    <row r="40">
      <c r="A40" s="20" t="inlineStr">
        <is>
          <t>📍 THỨ 6 (16/10/2026) - NGÀY 39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Ngày'!G347</f>
        <v/>
      </c>
      <c r="D42" s="18">
        <f>'📋 Báo Cáo 49 Ngày'!I347</f>
        <v/>
      </c>
      <c r="E42" s="18">
        <f>'📋 Báo Cáo 49 Ngày'!K347</f>
        <v/>
      </c>
      <c r="F42" s="18">
        <f>'📋 Báo Cáo 49 Ngày'!M347</f>
        <v/>
      </c>
      <c r="G42" s="5">
        <f>IF(COUNTIF('📋 Báo Cáo 49 Ngày'!H347:N347, "&lt;&gt;")&gt;0, "🖼️ Có kèm ảnh", "—")</f>
        <v/>
      </c>
      <c r="H42" s="7">
        <f>'📋 Báo Cáo 49 Ngày'!O347</f>
        <v/>
      </c>
      <c r="I42" s="7">
        <f>'📋 Báo Cáo 49 Ngày'!P347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Ngày'!G348</f>
        <v/>
      </c>
      <c r="D43" s="18">
        <f>'📋 Báo Cáo 49 Ngày'!I348</f>
        <v/>
      </c>
      <c r="E43" s="18">
        <f>'📋 Báo Cáo 49 Ngày'!K348</f>
        <v/>
      </c>
      <c r="F43" s="18">
        <f>'📋 Báo Cáo 49 Ngày'!M348</f>
        <v/>
      </c>
      <c r="G43" s="5">
        <f>IF(COUNTIF('📋 Báo Cáo 49 Ngày'!H348:N348, "&lt;&gt;")&gt;0, "🖼️ Có kèm ảnh", "—")</f>
        <v/>
      </c>
      <c r="H43" s="7">
        <f>'📋 Báo Cáo 49 Ngày'!O348</f>
        <v/>
      </c>
      <c r="I43" s="7">
        <f>'📋 Báo Cáo 49 Ngày'!P348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Ngày'!G349</f>
        <v/>
      </c>
      <c r="D44" s="18">
        <f>'📋 Báo Cáo 49 Ngày'!I349</f>
        <v/>
      </c>
      <c r="E44" s="18">
        <f>'📋 Báo Cáo 49 Ngày'!K349</f>
        <v/>
      </c>
      <c r="F44" s="18">
        <f>'📋 Báo Cáo 49 Ngày'!M349</f>
        <v/>
      </c>
      <c r="G44" s="5">
        <f>IF(COUNTIF('📋 Báo Cáo 49 Ngày'!H349:N349, "&lt;&gt;")&gt;0, "🖼️ Có kèm ảnh", "—")</f>
        <v/>
      </c>
      <c r="H44" s="7">
        <f>'📋 Báo Cáo 49 Ngày'!O349</f>
        <v/>
      </c>
      <c r="I44" s="7">
        <f>'📋 Báo Cáo 49 Ngày'!P349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Ngày'!G350</f>
        <v/>
      </c>
      <c r="D45" s="18">
        <f>'📋 Báo Cáo 49 Ngày'!I350</f>
        <v/>
      </c>
      <c r="E45" s="18">
        <f>'📋 Báo Cáo 49 Ngày'!K350</f>
        <v/>
      </c>
      <c r="F45" s="18">
        <f>'📋 Báo Cáo 49 Ngày'!M350</f>
        <v/>
      </c>
      <c r="G45" s="5">
        <f>IF(COUNTIF('📋 Báo Cáo 49 Ngày'!H350:N350, "&lt;&gt;")&gt;0, "🖼️ Có kèm ảnh", "—")</f>
        <v/>
      </c>
      <c r="H45" s="7">
        <f>'📋 Báo Cáo 49 Ngày'!O350</f>
        <v/>
      </c>
      <c r="I45" s="7">
        <f>'📋 Báo Cáo 49 Ngày'!P350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Ngày'!G351</f>
        <v/>
      </c>
      <c r="D46" s="18">
        <f>'📋 Báo Cáo 49 Ngày'!I351</f>
        <v/>
      </c>
      <c r="E46" s="18">
        <f>'📋 Báo Cáo 49 Ngày'!K351</f>
        <v/>
      </c>
      <c r="F46" s="18">
        <f>'📋 Báo Cáo 49 Ngày'!M351</f>
        <v/>
      </c>
      <c r="G46" s="5">
        <f>IF(COUNTIF('📋 Báo Cáo 49 Ngày'!H351:N351, "&lt;&gt;")&gt;0, "🖼️ Có kèm ảnh", "—")</f>
        <v/>
      </c>
      <c r="H46" s="7">
        <f>'📋 Báo Cáo 49 Ngày'!O351</f>
        <v/>
      </c>
      <c r="I46" s="7">
        <f>'📋 Báo Cáo 49 Ngày'!P351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Ngày'!G352</f>
        <v/>
      </c>
      <c r="D47" s="18">
        <f>'📋 Báo Cáo 49 Ngày'!I352</f>
        <v/>
      </c>
      <c r="E47" s="18">
        <f>'📋 Báo Cáo 49 Ngày'!K352</f>
        <v/>
      </c>
      <c r="F47" s="18">
        <f>'📋 Báo Cáo 49 Ngày'!M352</f>
        <v/>
      </c>
      <c r="G47" s="5">
        <f>IF(COUNTIF('📋 Báo Cáo 49 Ngày'!H352:N352, "&lt;&gt;")&gt;0, "🖼️ Có kèm ảnh", "—")</f>
        <v/>
      </c>
      <c r="H47" s="7">
        <f>'📋 Báo Cáo 49 Ngày'!O352</f>
        <v/>
      </c>
      <c r="I47" s="7">
        <f>'📋 Báo Cáo 49 Ngày'!P352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Ngày'!G353</f>
        <v/>
      </c>
      <c r="D48" s="18">
        <f>'📋 Báo Cáo 49 Ngày'!I353</f>
        <v/>
      </c>
      <c r="E48" s="18">
        <f>'📋 Báo Cáo 49 Ngày'!K353</f>
        <v/>
      </c>
      <c r="F48" s="18">
        <f>'📋 Báo Cáo 49 Ngày'!M353</f>
        <v/>
      </c>
      <c r="G48" s="5">
        <f>IF(COUNTIF('📋 Báo Cáo 49 Ngày'!H353:N353, "&lt;&gt;")&gt;0, "🖼️ Có kèm ảnh", "—")</f>
        <v/>
      </c>
      <c r="H48" s="7">
        <f>'📋 Báo Cáo 49 Ngày'!O353</f>
        <v/>
      </c>
      <c r="I48" s="7">
        <f>'📋 Báo Cáo 49 Ngày'!P353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Ngày'!G354</f>
        <v/>
      </c>
      <c r="D49" s="18">
        <f>'📋 Báo Cáo 49 Ngày'!I354</f>
        <v/>
      </c>
      <c r="E49" s="18">
        <f>'📋 Báo Cáo 49 Ngày'!K354</f>
        <v/>
      </c>
      <c r="F49" s="18">
        <f>'📋 Báo Cáo 49 Ngày'!M354</f>
        <v/>
      </c>
      <c r="G49" s="5">
        <f>IF(COUNTIF('📋 Báo Cáo 49 Ngày'!H354:N354, "&lt;&gt;")&gt;0, "🖼️ Có kèm ảnh", "—")</f>
        <v/>
      </c>
      <c r="H49" s="7">
        <f>'📋 Báo Cáo 49 Ngày'!O354</f>
        <v/>
      </c>
      <c r="I49" s="7">
        <f>'📋 Báo Cáo 49 Ngày'!P354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Ngày'!G355</f>
        <v/>
      </c>
      <c r="D50" s="18">
        <f>'📋 Báo Cáo 49 Ngày'!I355</f>
        <v/>
      </c>
      <c r="E50" s="18">
        <f>'📋 Báo Cáo 49 Ngày'!K355</f>
        <v/>
      </c>
      <c r="F50" s="18">
        <f>'📋 Báo Cáo 49 Ngày'!M355</f>
        <v/>
      </c>
      <c r="G50" s="5">
        <f>IF(COUNTIF('📋 Báo Cáo 49 Ngày'!H355:N355, "&lt;&gt;")&gt;0, "🖼️ Có kèm ảnh", "—")</f>
        <v/>
      </c>
      <c r="H50" s="7">
        <f>'📋 Báo Cáo 49 Ngày'!O355</f>
        <v/>
      </c>
      <c r="I50" s="7">
        <f>'📋 Báo Cáo 49 Ngày'!P355</f>
        <v/>
      </c>
      <c r="J50" s="18" t="inlineStr"/>
    </row>
    <row r="52">
      <c r="A52" s="20" t="inlineStr">
        <is>
          <t>📍 THỨ 7 (17/10/2026) - NGÀY 40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Ngày'!G356</f>
        <v/>
      </c>
      <c r="D54" s="18">
        <f>'📋 Báo Cáo 49 Ngày'!I356</f>
        <v/>
      </c>
      <c r="E54" s="18">
        <f>'📋 Báo Cáo 49 Ngày'!K356</f>
        <v/>
      </c>
      <c r="F54" s="18">
        <f>'📋 Báo Cáo 49 Ngày'!M356</f>
        <v/>
      </c>
      <c r="G54" s="5">
        <f>IF(COUNTIF('📋 Báo Cáo 49 Ngày'!H356:N356, "&lt;&gt;")&gt;0, "🖼️ Có kèm ảnh", "—")</f>
        <v/>
      </c>
      <c r="H54" s="7">
        <f>'📋 Báo Cáo 49 Ngày'!O356</f>
        <v/>
      </c>
      <c r="I54" s="7">
        <f>'📋 Báo Cáo 49 Ngày'!P356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Ngày'!G357</f>
        <v/>
      </c>
      <c r="D55" s="18">
        <f>'📋 Báo Cáo 49 Ngày'!I357</f>
        <v/>
      </c>
      <c r="E55" s="18">
        <f>'📋 Báo Cáo 49 Ngày'!K357</f>
        <v/>
      </c>
      <c r="F55" s="18">
        <f>'📋 Báo Cáo 49 Ngày'!M357</f>
        <v/>
      </c>
      <c r="G55" s="5">
        <f>IF(COUNTIF('📋 Báo Cáo 49 Ngày'!H357:N357, "&lt;&gt;")&gt;0, "🖼️ Có kèm ảnh", "—")</f>
        <v/>
      </c>
      <c r="H55" s="7">
        <f>'📋 Báo Cáo 49 Ngày'!O357</f>
        <v/>
      </c>
      <c r="I55" s="7">
        <f>'📋 Báo Cáo 49 Ngày'!P357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Ngày'!G358</f>
        <v/>
      </c>
      <c r="D56" s="18">
        <f>'📋 Báo Cáo 49 Ngày'!I358</f>
        <v/>
      </c>
      <c r="E56" s="18">
        <f>'📋 Báo Cáo 49 Ngày'!K358</f>
        <v/>
      </c>
      <c r="F56" s="18">
        <f>'📋 Báo Cáo 49 Ngày'!M358</f>
        <v/>
      </c>
      <c r="G56" s="5">
        <f>IF(COUNTIF('📋 Báo Cáo 49 Ngày'!H358:N358, "&lt;&gt;")&gt;0, "🖼️ Có kèm ảnh", "—")</f>
        <v/>
      </c>
      <c r="H56" s="7">
        <f>'📋 Báo Cáo 49 Ngày'!O358</f>
        <v/>
      </c>
      <c r="I56" s="7">
        <f>'📋 Báo Cáo 49 Ngày'!P358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Ngày'!G359</f>
        <v/>
      </c>
      <c r="D57" s="18">
        <f>'📋 Báo Cáo 49 Ngày'!I359</f>
        <v/>
      </c>
      <c r="E57" s="18">
        <f>'📋 Báo Cáo 49 Ngày'!K359</f>
        <v/>
      </c>
      <c r="F57" s="18">
        <f>'📋 Báo Cáo 49 Ngày'!M359</f>
        <v/>
      </c>
      <c r="G57" s="5">
        <f>IF(COUNTIF('📋 Báo Cáo 49 Ngày'!H359:N359, "&lt;&gt;")&gt;0, "🖼️ Có kèm ảnh", "—")</f>
        <v/>
      </c>
      <c r="H57" s="7">
        <f>'📋 Báo Cáo 49 Ngày'!O359</f>
        <v/>
      </c>
      <c r="I57" s="7">
        <f>'📋 Báo Cáo 49 Ngày'!P359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Ngày'!G360</f>
        <v/>
      </c>
      <c r="D58" s="18">
        <f>'📋 Báo Cáo 49 Ngày'!I360</f>
        <v/>
      </c>
      <c r="E58" s="18">
        <f>'📋 Báo Cáo 49 Ngày'!K360</f>
        <v/>
      </c>
      <c r="F58" s="18">
        <f>'📋 Báo Cáo 49 Ngày'!M360</f>
        <v/>
      </c>
      <c r="G58" s="5">
        <f>IF(COUNTIF('📋 Báo Cáo 49 Ngày'!H360:N360, "&lt;&gt;")&gt;0, "🖼️ Có kèm ảnh", "—")</f>
        <v/>
      </c>
      <c r="H58" s="7">
        <f>'📋 Báo Cáo 49 Ngày'!O360</f>
        <v/>
      </c>
      <c r="I58" s="7">
        <f>'📋 Báo Cáo 49 Ngày'!P360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Ngày'!G361</f>
        <v/>
      </c>
      <c r="D59" s="18">
        <f>'📋 Báo Cáo 49 Ngày'!I361</f>
        <v/>
      </c>
      <c r="E59" s="18">
        <f>'📋 Báo Cáo 49 Ngày'!K361</f>
        <v/>
      </c>
      <c r="F59" s="18">
        <f>'📋 Báo Cáo 49 Ngày'!M361</f>
        <v/>
      </c>
      <c r="G59" s="5">
        <f>IF(COUNTIF('📋 Báo Cáo 49 Ngày'!H361:N361, "&lt;&gt;")&gt;0, "🖼️ Có kèm ảnh", "—")</f>
        <v/>
      </c>
      <c r="H59" s="7">
        <f>'📋 Báo Cáo 49 Ngày'!O361</f>
        <v/>
      </c>
      <c r="I59" s="7">
        <f>'📋 Báo Cáo 49 Ngày'!P361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Ngày'!G362</f>
        <v/>
      </c>
      <c r="D60" s="18">
        <f>'📋 Báo Cáo 49 Ngày'!I362</f>
        <v/>
      </c>
      <c r="E60" s="18">
        <f>'📋 Báo Cáo 49 Ngày'!K362</f>
        <v/>
      </c>
      <c r="F60" s="18">
        <f>'📋 Báo Cáo 49 Ngày'!M362</f>
        <v/>
      </c>
      <c r="G60" s="5">
        <f>IF(COUNTIF('📋 Báo Cáo 49 Ngày'!H362:N362, "&lt;&gt;")&gt;0, "🖼️ Có kèm ảnh", "—")</f>
        <v/>
      </c>
      <c r="H60" s="7">
        <f>'📋 Báo Cáo 49 Ngày'!O362</f>
        <v/>
      </c>
      <c r="I60" s="7">
        <f>'📋 Báo Cáo 49 Ngày'!P362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Ngày'!G363</f>
        <v/>
      </c>
      <c r="D61" s="18">
        <f>'📋 Báo Cáo 49 Ngày'!I363</f>
        <v/>
      </c>
      <c r="E61" s="18">
        <f>'📋 Báo Cáo 49 Ngày'!K363</f>
        <v/>
      </c>
      <c r="F61" s="18">
        <f>'📋 Báo Cáo 49 Ngày'!M363</f>
        <v/>
      </c>
      <c r="G61" s="5">
        <f>IF(COUNTIF('📋 Báo Cáo 49 Ngày'!H363:N363, "&lt;&gt;")&gt;0, "🖼️ Có kèm ảnh", "—")</f>
        <v/>
      </c>
      <c r="H61" s="7">
        <f>'📋 Báo Cáo 49 Ngày'!O363</f>
        <v/>
      </c>
      <c r="I61" s="7">
        <f>'📋 Báo Cáo 49 Ngày'!P363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Ngày'!G364</f>
        <v/>
      </c>
      <c r="D62" s="18">
        <f>'📋 Báo Cáo 49 Ngày'!I364</f>
        <v/>
      </c>
      <c r="E62" s="18">
        <f>'📋 Báo Cáo 49 Ngày'!K364</f>
        <v/>
      </c>
      <c r="F62" s="18">
        <f>'📋 Báo Cáo 49 Ngày'!M364</f>
        <v/>
      </c>
      <c r="G62" s="5">
        <f>IF(COUNTIF('📋 Báo Cáo 49 Ngày'!H364:N364, "&lt;&gt;")&gt;0, "🖼️ Có kèm ảnh", "—")</f>
        <v/>
      </c>
      <c r="H62" s="7">
        <f>'📋 Báo Cáo 49 Ngày'!O364</f>
        <v/>
      </c>
      <c r="I62" s="7">
        <f>'📋 Báo Cáo 49 Ngày'!P364</f>
        <v/>
      </c>
      <c r="J62" s="18" t="inlineStr"/>
    </row>
    <row r="64">
      <c r="A64" s="20" t="inlineStr">
        <is>
          <t>📍 CHỦ NHẬT (18/10/2026) - NGÀY 41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Ngày'!G365</f>
        <v/>
      </c>
      <c r="D66" s="18">
        <f>'📋 Báo Cáo 49 Ngày'!I365</f>
        <v/>
      </c>
      <c r="E66" s="18">
        <f>'📋 Báo Cáo 49 Ngày'!K365</f>
        <v/>
      </c>
      <c r="F66" s="18">
        <f>'📋 Báo Cáo 49 Ngày'!M365</f>
        <v/>
      </c>
      <c r="G66" s="5">
        <f>IF(COUNTIF('📋 Báo Cáo 49 Ngày'!H365:N365, "&lt;&gt;")&gt;0, "🖼️ Có kèm ảnh", "—")</f>
        <v/>
      </c>
      <c r="H66" s="7">
        <f>'📋 Báo Cáo 49 Ngày'!O365</f>
        <v/>
      </c>
      <c r="I66" s="7">
        <f>'📋 Báo Cáo 49 Ngày'!P365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Ngày'!G366</f>
        <v/>
      </c>
      <c r="D67" s="18">
        <f>'📋 Báo Cáo 49 Ngày'!I366</f>
        <v/>
      </c>
      <c r="E67" s="18">
        <f>'📋 Báo Cáo 49 Ngày'!K366</f>
        <v/>
      </c>
      <c r="F67" s="18">
        <f>'📋 Báo Cáo 49 Ngày'!M366</f>
        <v/>
      </c>
      <c r="G67" s="5">
        <f>IF(COUNTIF('📋 Báo Cáo 49 Ngày'!H366:N366, "&lt;&gt;")&gt;0, "🖼️ Có kèm ảnh", "—")</f>
        <v/>
      </c>
      <c r="H67" s="7">
        <f>'📋 Báo Cáo 49 Ngày'!O366</f>
        <v/>
      </c>
      <c r="I67" s="7">
        <f>'📋 Báo Cáo 49 Ngày'!P366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Ngày'!G367</f>
        <v/>
      </c>
      <c r="D68" s="18">
        <f>'📋 Báo Cáo 49 Ngày'!I367</f>
        <v/>
      </c>
      <c r="E68" s="18">
        <f>'📋 Báo Cáo 49 Ngày'!K367</f>
        <v/>
      </c>
      <c r="F68" s="18">
        <f>'📋 Báo Cáo 49 Ngày'!M367</f>
        <v/>
      </c>
      <c r="G68" s="5">
        <f>IF(COUNTIF('📋 Báo Cáo 49 Ngày'!H367:N367, "&lt;&gt;")&gt;0, "🖼️ Có kèm ảnh", "—")</f>
        <v/>
      </c>
      <c r="H68" s="7">
        <f>'📋 Báo Cáo 49 Ngày'!O367</f>
        <v/>
      </c>
      <c r="I68" s="7">
        <f>'📋 Báo Cáo 49 Ngày'!P367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Ngày'!G368</f>
        <v/>
      </c>
      <c r="D69" s="18">
        <f>'📋 Báo Cáo 49 Ngày'!I368</f>
        <v/>
      </c>
      <c r="E69" s="18">
        <f>'📋 Báo Cáo 49 Ngày'!K368</f>
        <v/>
      </c>
      <c r="F69" s="18">
        <f>'📋 Báo Cáo 49 Ngày'!M368</f>
        <v/>
      </c>
      <c r="G69" s="5">
        <f>IF(COUNTIF('📋 Báo Cáo 49 Ngày'!H368:N368, "&lt;&gt;")&gt;0, "🖼️ Có kèm ảnh", "—")</f>
        <v/>
      </c>
      <c r="H69" s="7">
        <f>'📋 Báo Cáo 49 Ngày'!O368</f>
        <v/>
      </c>
      <c r="I69" s="7">
        <f>'📋 Báo Cáo 49 Ngày'!P368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Ngày'!G369</f>
        <v/>
      </c>
      <c r="D70" s="18">
        <f>'📋 Báo Cáo 49 Ngày'!I369</f>
        <v/>
      </c>
      <c r="E70" s="18">
        <f>'📋 Báo Cáo 49 Ngày'!K369</f>
        <v/>
      </c>
      <c r="F70" s="18">
        <f>'📋 Báo Cáo 49 Ngày'!M369</f>
        <v/>
      </c>
      <c r="G70" s="5">
        <f>IF(COUNTIF('📋 Báo Cáo 49 Ngày'!H369:N369, "&lt;&gt;")&gt;0, "🖼️ Có kèm ảnh", "—")</f>
        <v/>
      </c>
      <c r="H70" s="7">
        <f>'📋 Báo Cáo 49 Ngày'!O369</f>
        <v/>
      </c>
      <c r="I70" s="7">
        <f>'📋 Báo Cáo 49 Ngày'!P369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Ngày'!G370</f>
        <v/>
      </c>
      <c r="D71" s="18">
        <f>'📋 Báo Cáo 49 Ngày'!I370</f>
        <v/>
      </c>
      <c r="E71" s="18">
        <f>'📋 Báo Cáo 49 Ngày'!K370</f>
        <v/>
      </c>
      <c r="F71" s="18">
        <f>'📋 Báo Cáo 49 Ngày'!M370</f>
        <v/>
      </c>
      <c r="G71" s="5">
        <f>IF(COUNTIF('📋 Báo Cáo 49 Ngày'!H370:N370, "&lt;&gt;")&gt;0, "🖼️ Có kèm ảnh", "—")</f>
        <v/>
      </c>
      <c r="H71" s="7">
        <f>'📋 Báo Cáo 49 Ngày'!O370</f>
        <v/>
      </c>
      <c r="I71" s="7">
        <f>'📋 Báo Cáo 49 Ngày'!P370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Ngày'!G371</f>
        <v/>
      </c>
      <c r="D72" s="18">
        <f>'📋 Báo Cáo 49 Ngày'!I371</f>
        <v/>
      </c>
      <c r="E72" s="18">
        <f>'📋 Báo Cáo 49 Ngày'!K371</f>
        <v/>
      </c>
      <c r="F72" s="18">
        <f>'📋 Báo Cáo 49 Ngày'!M371</f>
        <v/>
      </c>
      <c r="G72" s="5">
        <f>IF(COUNTIF('📋 Báo Cáo 49 Ngày'!H371:N371, "&lt;&gt;")&gt;0, "🖼️ Có kèm ảnh", "—")</f>
        <v/>
      </c>
      <c r="H72" s="7">
        <f>'📋 Báo Cáo 49 Ngày'!O371</f>
        <v/>
      </c>
      <c r="I72" s="7">
        <f>'📋 Báo Cáo 49 Ngày'!P371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Ngày'!G372</f>
        <v/>
      </c>
      <c r="D73" s="18">
        <f>'📋 Báo Cáo 49 Ngày'!I372</f>
        <v/>
      </c>
      <c r="E73" s="18">
        <f>'📋 Báo Cáo 49 Ngày'!K372</f>
        <v/>
      </c>
      <c r="F73" s="18">
        <f>'📋 Báo Cáo 49 Ngày'!M372</f>
        <v/>
      </c>
      <c r="G73" s="5">
        <f>IF(COUNTIF('📋 Báo Cáo 49 Ngày'!H372:N372, "&lt;&gt;")&gt;0, "🖼️ Có kèm ảnh", "—")</f>
        <v/>
      </c>
      <c r="H73" s="7">
        <f>'📋 Báo Cáo 49 Ngày'!O372</f>
        <v/>
      </c>
      <c r="I73" s="7">
        <f>'📋 Báo Cáo 49 Ngày'!P372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Ngày'!G373</f>
        <v/>
      </c>
      <c r="D74" s="18">
        <f>'📋 Báo Cáo 49 Ngày'!I373</f>
        <v/>
      </c>
      <c r="E74" s="18">
        <f>'📋 Báo Cáo 49 Ngày'!K373</f>
        <v/>
      </c>
      <c r="F74" s="18">
        <f>'📋 Báo Cáo 49 Ngày'!M373</f>
        <v/>
      </c>
      <c r="G74" s="5">
        <f>IF(COUNTIF('📋 Báo Cáo 49 Ngày'!H373:N373, "&lt;&gt;")&gt;0, "🖼️ Có kèm ảnh", "—")</f>
        <v/>
      </c>
      <c r="H74" s="7">
        <f>'📋 Báo Cáo 49 Ngày'!O373</f>
        <v/>
      </c>
      <c r="I74" s="7">
        <f>'📋 Báo Cáo 49 Ngày'!P373</f>
        <v/>
      </c>
      <c r="J74" s="18" t="inlineStr"/>
    </row>
    <row r="76">
      <c r="A76" s="20" t="inlineStr">
        <is>
          <t>📍 THỨ 2 (19/10/2026) - NGÀY 42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Ngày'!G374</f>
        <v/>
      </c>
      <c r="D78" s="18">
        <f>'📋 Báo Cáo 49 Ngày'!I374</f>
        <v/>
      </c>
      <c r="E78" s="18">
        <f>'📋 Báo Cáo 49 Ngày'!K374</f>
        <v/>
      </c>
      <c r="F78" s="18">
        <f>'📋 Báo Cáo 49 Ngày'!M374</f>
        <v/>
      </c>
      <c r="G78" s="5">
        <f>IF(COUNTIF('📋 Báo Cáo 49 Ngày'!H374:N374, "&lt;&gt;")&gt;0, "🖼️ Có kèm ảnh", "—")</f>
        <v/>
      </c>
      <c r="H78" s="7">
        <f>'📋 Báo Cáo 49 Ngày'!O374</f>
        <v/>
      </c>
      <c r="I78" s="7">
        <f>'📋 Báo Cáo 49 Ngày'!P374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Ngày'!G375</f>
        <v/>
      </c>
      <c r="D79" s="18">
        <f>'📋 Báo Cáo 49 Ngày'!I375</f>
        <v/>
      </c>
      <c r="E79" s="18">
        <f>'📋 Báo Cáo 49 Ngày'!K375</f>
        <v/>
      </c>
      <c r="F79" s="18">
        <f>'📋 Báo Cáo 49 Ngày'!M375</f>
        <v/>
      </c>
      <c r="G79" s="5">
        <f>IF(COUNTIF('📋 Báo Cáo 49 Ngày'!H375:N375, "&lt;&gt;")&gt;0, "🖼️ Có kèm ảnh", "—")</f>
        <v/>
      </c>
      <c r="H79" s="7">
        <f>'📋 Báo Cáo 49 Ngày'!O375</f>
        <v/>
      </c>
      <c r="I79" s="7">
        <f>'📋 Báo Cáo 49 Ngày'!P375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Ngày'!G376</f>
        <v/>
      </c>
      <c r="D80" s="18">
        <f>'📋 Báo Cáo 49 Ngày'!I376</f>
        <v/>
      </c>
      <c r="E80" s="18">
        <f>'📋 Báo Cáo 49 Ngày'!K376</f>
        <v/>
      </c>
      <c r="F80" s="18">
        <f>'📋 Báo Cáo 49 Ngày'!M376</f>
        <v/>
      </c>
      <c r="G80" s="5">
        <f>IF(COUNTIF('📋 Báo Cáo 49 Ngày'!H376:N376, "&lt;&gt;")&gt;0, "🖼️ Có kèm ảnh", "—")</f>
        <v/>
      </c>
      <c r="H80" s="7">
        <f>'📋 Báo Cáo 49 Ngày'!O376</f>
        <v/>
      </c>
      <c r="I80" s="7">
        <f>'📋 Báo Cáo 49 Ngày'!P376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Ngày'!G377</f>
        <v/>
      </c>
      <c r="D81" s="18">
        <f>'📋 Báo Cáo 49 Ngày'!I377</f>
        <v/>
      </c>
      <c r="E81" s="18">
        <f>'📋 Báo Cáo 49 Ngày'!K377</f>
        <v/>
      </c>
      <c r="F81" s="18">
        <f>'📋 Báo Cáo 49 Ngày'!M377</f>
        <v/>
      </c>
      <c r="G81" s="5">
        <f>IF(COUNTIF('📋 Báo Cáo 49 Ngày'!H377:N377, "&lt;&gt;")&gt;0, "🖼️ Có kèm ảnh", "—")</f>
        <v/>
      </c>
      <c r="H81" s="7">
        <f>'📋 Báo Cáo 49 Ngày'!O377</f>
        <v/>
      </c>
      <c r="I81" s="7">
        <f>'📋 Báo Cáo 49 Ngày'!P377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Ngày'!G378</f>
        <v/>
      </c>
      <c r="D82" s="18">
        <f>'📋 Báo Cáo 49 Ngày'!I378</f>
        <v/>
      </c>
      <c r="E82" s="18">
        <f>'📋 Báo Cáo 49 Ngày'!K378</f>
        <v/>
      </c>
      <c r="F82" s="18">
        <f>'📋 Báo Cáo 49 Ngày'!M378</f>
        <v/>
      </c>
      <c r="G82" s="5">
        <f>IF(COUNTIF('📋 Báo Cáo 49 Ngày'!H378:N378, "&lt;&gt;")&gt;0, "🖼️ Có kèm ảnh", "—")</f>
        <v/>
      </c>
      <c r="H82" s="7">
        <f>'📋 Báo Cáo 49 Ngày'!O378</f>
        <v/>
      </c>
      <c r="I82" s="7">
        <f>'📋 Báo Cáo 49 Ngày'!P378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Ngày'!G379</f>
        <v/>
      </c>
      <c r="D83" s="18">
        <f>'📋 Báo Cáo 49 Ngày'!I379</f>
        <v/>
      </c>
      <c r="E83" s="18">
        <f>'📋 Báo Cáo 49 Ngày'!K379</f>
        <v/>
      </c>
      <c r="F83" s="18">
        <f>'📋 Báo Cáo 49 Ngày'!M379</f>
        <v/>
      </c>
      <c r="G83" s="5">
        <f>IF(COUNTIF('📋 Báo Cáo 49 Ngày'!H379:N379, "&lt;&gt;")&gt;0, "🖼️ Có kèm ảnh", "—")</f>
        <v/>
      </c>
      <c r="H83" s="7">
        <f>'📋 Báo Cáo 49 Ngày'!O379</f>
        <v/>
      </c>
      <c r="I83" s="7">
        <f>'📋 Báo Cáo 49 Ngày'!P379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Ngày'!G380</f>
        <v/>
      </c>
      <c r="D84" s="18">
        <f>'📋 Báo Cáo 49 Ngày'!I380</f>
        <v/>
      </c>
      <c r="E84" s="18">
        <f>'📋 Báo Cáo 49 Ngày'!K380</f>
        <v/>
      </c>
      <c r="F84" s="18">
        <f>'📋 Báo Cáo 49 Ngày'!M380</f>
        <v/>
      </c>
      <c r="G84" s="5">
        <f>IF(COUNTIF('📋 Báo Cáo 49 Ngày'!H380:N380, "&lt;&gt;")&gt;0, "🖼️ Có kèm ảnh", "—")</f>
        <v/>
      </c>
      <c r="H84" s="7">
        <f>'📋 Báo Cáo 49 Ngày'!O380</f>
        <v/>
      </c>
      <c r="I84" s="7">
        <f>'📋 Báo Cáo 49 Ngày'!P380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Ngày'!G381</f>
        <v/>
      </c>
      <c r="D85" s="18">
        <f>'📋 Báo Cáo 49 Ngày'!I381</f>
        <v/>
      </c>
      <c r="E85" s="18">
        <f>'📋 Báo Cáo 49 Ngày'!K381</f>
        <v/>
      </c>
      <c r="F85" s="18">
        <f>'📋 Báo Cáo 49 Ngày'!M381</f>
        <v/>
      </c>
      <c r="G85" s="5">
        <f>IF(COUNTIF('📋 Báo Cáo 49 Ngày'!H381:N381, "&lt;&gt;")&gt;0, "🖼️ Có kèm ảnh", "—")</f>
        <v/>
      </c>
      <c r="H85" s="7">
        <f>'📋 Báo Cáo 49 Ngày'!O381</f>
        <v/>
      </c>
      <c r="I85" s="7">
        <f>'📋 Báo Cáo 49 Ngày'!P381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Ngày'!G382</f>
        <v/>
      </c>
      <c r="D86" s="18">
        <f>'📋 Báo Cáo 49 Ngày'!I382</f>
        <v/>
      </c>
      <c r="E86" s="18">
        <f>'📋 Báo Cáo 49 Ngày'!K382</f>
        <v/>
      </c>
      <c r="F86" s="18">
        <f>'📋 Báo Cáo 49 Ngày'!M382</f>
        <v/>
      </c>
      <c r="G86" s="5">
        <f>IF(COUNTIF('📋 Báo Cáo 49 Ngày'!H382:N382, "&lt;&gt;")&gt;0, "🖼️ Có kèm ảnh", "—")</f>
        <v/>
      </c>
      <c r="H86" s="7">
        <f>'📋 Báo Cáo 49 Ngày'!O382</f>
        <v/>
      </c>
      <c r="I86" s="7">
        <f>'📋 Báo Cáo 49 Ngày'!P382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26" customWidth="1" min="6" max="6"/>
    <col width="18" customWidth="1" min="7" max="7"/>
    <col width="14" customWidth="1" min="8" max="8"/>
    <col width="18" customWidth="1" min="9" max="9"/>
    <col width="20" customWidth="1" min="10" max="10"/>
  </cols>
  <sheetData>
    <row r="1">
      <c r="A1" s="1" t="inlineStr">
        <is>
          <t>📅 TUẦN 7 (20/10 - 26/10/2026) - BÁO CÁO 9 THÀNH VIÊN</t>
        </is>
      </c>
    </row>
    <row r="2"/>
    <row r="4">
      <c r="A4" s="20" t="inlineStr">
        <is>
          <t>📍 THỨ 3 (20/10/2026) - NGÀY 43 / 49</t>
        </is>
      </c>
    </row>
    <row r="5">
      <c r="A5" s="21" t="inlineStr">
        <is>
          <t>STT</t>
        </is>
      </c>
      <c r="B5" s="21" t="inlineStr">
        <is>
          <t>Thành Viên</t>
        </is>
      </c>
      <c r="C5" s="21" t="inlineStr">
        <is>
          <t>Reel (Link/Ảnh)</t>
        </is>
      </c>
      <c r="D5" s="21" t="inlineStr">
        <is>
          <t>Bài Viết 1 (Link/Ảnh)</t>
        </is>
      </c>
      <c r="E5" s="21" t="inlineStr">
        <is>
          <t>Bài Viết 2 (Link/Ảnh)</t>
        </is>
      </c>
      <c r="F5" s="21" t="inlineStr">
        <is>
          <t>Bài Tập Nhóm (Link/Ảnh)</t>
        </is>
      </c>
      <c r="G5" s="21" t="inlineStr">
        <is>
          <t>Chi Tiết Ảnh Minh Chứng</t>
        </is>
      </c>
      <c r="H5" s="21" t="inlineStr">
        <is>
          <t>Hoàn Thành</t>
        </is>
      </c>
      <c r="I5" s="21" t="inlineStr">
        <is>
          <t>Đánh Giá</t>
        </is>
      </c>
      <c r="J5" s="21" t="inlineStr">
        <is>
          <t>Ghi Chú</t>
        </is>
      </c>
    </row>
    <row r="6">
      <c r="A6" s="5" t="n">
        <v>1</v>
      </c>
      <c r="B6" s="6" t="inlineStr">
        <is>
          <t>Nancy</t>
        </is>
      </c>
      <c r="C6" s="18">
        <f>'📋 Báo Cáo 49 Ngày'!G383</f>
        <v/>
      </c>
      <c r="D6" s="18">
        <f>'📋 Báo Cáo 49 Ngày'!I383</f>
        <v/>
      </c>
      <c r="E6" s="18">
        <f>'📋 Báo Cáo 49 Ngày'!K383</f>
        <v/>
      </c>
      <c r="F6" s="18">
        <f>'📋 Báo Cáo 49 Ngày'!M383</f>
        <v/>
      </c>
      <c r="G6" s="5">
        <f>IF(COUNTIF('📋 Báo Cáo 49 Ngày'!H383:N383, "&lt;&gt;")&gt;0, "🖼️ Có kèm ảnh", "—")</f>
        <v/>
      </c>
      <c r="H6" s="7">
        <f>'📋 Báo Cáo 49 Ngày'!O383</f>
        <v/>
      </c>
      <c r="I6" s="7">
        <f>'📋 Báo Cáo 49 Ngày'!P383</f>
        <v/>
      </c>
      <c r="J6" s="18" t="inlineStr"/>
    </row>
    <row r="7">
      <c r="A7" s="5" t="n">
        <v>2</v>
      </c>
      <c r="B7" s="6" t="inlineStr">
        <is>
          <t>Hoài Học Mãi</t>
        </is>
      </c>
      <c r="C7" s="18">
        <f>'📋 Báo Cáo 49 Ngày'!G384</f>
        <v/>
      </c>
      <c r="D7" s="18">
        <f>'📋 Báo Cáo 49 Ngày'!I384</f>
        <v/>
      </c>
      <c r="E7" s="18">
        <f>'📋 Báo Cáo 49 Ngày'!K384</f>
        <v/>
      </c>
      <c r="F7" s="18">
        <f>'📋 Báo Cáo 49 Ngày'!M384</f>
        <v/>
      </c>
      <c r="G7" s="5">
        <f>IF(COUNTIF('📋 Báo Cáo 49 Ngày'!H384:N384, "&lt;&gt;")&gt;0, "🖼️ Có kèm ảnh", "—")</f>
        <v/>
      </c>
      <c r="H7" s="7">
        <f>'📋 Báo Cáo 49 Ngày'!O384</f>
        <v/>
      </c>
      <c r="I7" s="7">
        <f>'📋 Báo Cáo 49 Ngày'!P384</f>
        <v/>
      </c>
      <c r="J7" s="18" t="inlineStr"/>
    </row>
    <row r="8">
      <c r="A8" s="5" t="n">
        <v>3</v>
      </c>
      <c r="B8" s="6" t="inlineStr">
        <is>
          <t>Lambee</t>
        </is>
      </c>
      <c r="C8" s="18">
        <f>'📋 Báo Cáo 49 Ngày'!G385</f>
        <v/>
      </c>
      <c r="D8" s="18">
        <f>'📋 Báo Cáo 49 Ngày'!I385</f>
        <v/>
      </c>
      <c r="E8" s="18">
        <f>'📋 Báo Cáo 49 Ngày'!K385</f>
        <v/>
      </c>
      <c r="F8" s="18">
        <f>'📋 Báo Cáo 49 Ngày'!M385</f>
        <v/>
      </c>
      <c r="G8" s="5">
        <f>IF(COUNTIF('📋 Báo Cáo 49 Ngày'!H385:N385, "&lt;&gt;")&gt;0, "🖼️ Có kèm ảnh", "—")</f>
        <v/>
      </c>
      <c r="H8" s="7">
        <f>'📋 Báo Cáo 49 Ngày'!O385</f>
        <v/>
      </c>
      <c r="I8" s="7">
        <f>'📋 Báo Cáo 49 Ngày'!P385</f>
        <v/>
      </c>
      <c r="J8" s="18" t="inlineStr"/>
    </row>
    <row r="9">
      <c r="A9" s="5" t="n">
        <v>4</v>
      </c>
      <c r="B9" s="6" t="inlineStr">
        <is>
          <t>Nhung Hoàng</t>
        </is>
      </c>
      <c r="C9" s="18">
        <f>'📋 Báo Cáo 49 Ngày'!G386</f>
        <v/>
      </c>
      <c r="D9" s="18">
        <f>'📋 Báo Cáo 49 Ngày'!I386</f>
        <v/>
      </c>
      <c r="E9" s="18">
        <f>'📋 Báo Cáo 49 Ngày'!K386</f>
        <v/>
      </c>
      <c r="F9" s="18">
        <f>'📋 Báo Cáo 49 Ngày'!M386</f>
        <v/>
      </c>
      <c r="G9" s="5">
        <f>IF(COUNTIF('📋 Báo Cáo 49 Ngày'!H386:N386, "&lt;&gt;")&gt;0, "🖼️ Có kèm ảnh", "—")</f>
        <v/>
      </c>
      <c r="H9" s="7">
        <f>'📋 Báo Cáo 49 Ngày'!O386</f>
        <v/>
      </c>
      <c r="I9" s="7">
        <f>'📋 Báo Cáo 49 Ngày'!P386</f>
        <v/>
      </c>
      <c r="J9" s="18" t="inlineStr"/>
    </row>
    <row r="10">
      <c r="A10" s="5" t="n">
        <v>5</v>
      </c>
      <c r="B10" s="6" t="inlineStr">
        <is>
          <t>Quỳnh Thu</t>
        </is>
      </c>
      <c r="C10" s="18">
        <f>'📋 Báo Cáo 49 Ngày'!G387</f>
        <v/>
      </c>
      <c r="D10" s="18">
        <f>'📋 Báo Cáo 49 Ngày'!I387</f>
        <v/>
      </c>
      <c r="E10" s="18">
        <f>'📋 Báo Cáo 49 Ngày'!K387</f>
        <v/>
      </c>
      <c r="F10" s="18">
        <f>'📋 Báo Cáo 49 Ngày'!M387</f>
        <v/>
      </c>
      <c r="G10" s="5">
        <f>IF(COUNTIF('📋 Báo Cáo 49 Ngày'!H387:N387, "&lt;&gt;")&gt;0, "🖼️ Có kèm ảnh", "—")</f>
        <v/>
      </c>
      <c r="H10" s="7">
        <f>'📋 Báo Cáo 49 Ngày'!O387</f>
        <v/>
      </c>
      <c r="I10" s="7">
        <f>'📋 Báo Cáo 49 Ngày'!P387</f>
        <v/>
      </c>
      <c r="J10" s="18" t="inlineStr"/>
    </row>
    <row r="11">
      <c r="A11" s="5" t="n">
        <v>6</v>
      </c>
      <c r="B11" s="6" t="inlineStr">
        <is>
          <t>TanAnh Pham</t>
        </is>
      </c>
      <c r="C11" s="18">
        <f>'📋 Báo Cáo 49 Ngày'!G388</f>
        <v/>
      </c>
      <c r="D11" s="18">
        <f>'📋 Báo Cáo 49 Ngày'!I388</f>
        <v/>
      </c>
      <c r="E11" s="18">
        <f>'📋 Báo Cáo 49 Ngày'!K388</f>
        <v/>
      </c>
      <c r="F11" s="18">
        <f>'📋 Báo Cáo 49 Ngày'!M388</f>
        <v/>
      </c>
      <c r="G11" s="5">
        <f>IF(COUNTIF('📋 Báo Cáo 49 Ngày'!H388:N388, "&lt;&gt;")&gt;0, "🖼️ Có kèm ảnh", "—")</f>
        <v/>
      </c>
      <c r="H11" s="7">
        <f>'📋 Báo Cáo 49 Ngày'!O388</f>
        <v/>
      </c>
      <c r="I11" s="7">
        <f>'📋 Báo Cáo 49 Ngày'!P388</f>
        <v/>
      </c>
      <c r="J11" s="18" t="inlineStr"/>
    </row>
    <row r="12">
      <c r="A12" s="5" t="n">
        <v>7</v>
      </c>
      <c r="B12" s="6" t="inlineStr">
        <is>
          <t>Thảo Collins Edu</t>
        </is>
      </c>
      <c r="C12" s="18">
        <f>'📋 Báo Cáo 49 Ngày'!G389</f>
        <v/>
      </c>
      <c r="D12" s="18">
        <f>'📋 Báo Cáo 49 Ngày'!I389</f>
        <v/>
      </c>
      <c r="E12" s="18">
        <f>'📋 Báo Cáo 49 Ngày'!K389</f>
        <v/>
      </c>
      <c r="F12" s="18">
        <f>'📋 Báo Cáo 49 Ngày'!M389</f>
        <v/>
      </c>
      <c r="G12" s="5">
        <f>IF(COUNTIF('📋 Báo Cáo 49 Ngày'!H389:N389, "&lt;&gt;")&gt;0, "🖼️ Có kèm ảnh", "—")</f>
        <v/>
      </c>
      <c r="H12" s="7">
        <f>'📋 Báo Cáo 49 Ngày'!O389</f>
        <v/>
      </c>
      <c r="I12" s="7">
        <f>'📋 Báo Cáo 49 Ngày'!P389</f>
        <v/>
      </c>
      <c r="J12" s="18" t="inlineStr"/>
    </row>
    <row r="13">
      <c r="A13" s="5" t="n">
        <v>8</v>
      </c>
      <c r="B13" s="6" t="inlineStr">
        <is>
          <t>Trần Quế Lam</t>
        </is>
      </c>
      <c r="C13" s="18">
        <f>'📋 Báo Cáo 49 Ngày'!G390</f>
        <v/>
      </c>
      <c r="D13" s="18">
        <f>'📋 Báo Cáo 49 Ngày'!I390</f>
        <v/>
      </c>
      <c r="E13" s="18">
        <f>'📋 Báo Cáo 49 Ngày'!K390</f>
        <v/>
      </c>
      <c r="F13" s="18">
        <f>'📋 Báo Cáo 49 Ngày'!M390</f>
        <v/>
      </c>
      <c r="G13" s="5">
        <f>IF(COUNTIF('📋 Báo Cáo 49 Ngày'!H390:N390, "&lt;&gt;")&gt;0, "🖼️ Có kèm ảnh", "—")</f>
        <v/>
      </c>
      <c r="H13" s="7">
        <f>'📋 Báo Cáo 49 Ngày'!O390</f>
        <v/>
      </c>
      <c r="I13" s="7">
        <f>'📋 Báo Cáo 49 Ngày'!P390</f>
        <v/>
      </c>
      <c r="J13" s="18" t="inlineStr"/>
    </row>
    <row r="14">
      <c r="A14" s="5" t="n">
        <v>9</v>
      </c>
      <c r="B14" s="6" t="inlineStr">
        <is>
          <t>Phạm Huyền</t>
        </is>
      </c>
      <c r="C14" s="18">
        <f>'📋 Báo Cáo 49 Ngày'!G391</f>
        <v/>
      </c>
      <c r="D14" s="18">
        <f>'📋 Báo Cáo 49 Ngày'!I391</f>
        <v/>
      </c>
      <c r="E14" s="18">
        <f>'📋 Báo Cáo 49 Ngày'!K391</f>
        <v/>
      </c>
      <c r="F14" s="18">
        <f>'📋 Báo Cáo 49 Ngày'!M391</f>
        <v/>
      </c>
      <c r="G14" s="5">
        <f>IF(COUNTIF('📋 Báo Cáo 49 Ngày'!H391:N391, "&lt;&gt;")&gt;0, "🖼️ Có kèm ảnh", "—")</f>
        <v/>
      </c>
      <c r="H14" s="7">
        <f>'📋 Báo Cáo 49 Ngày'!O391</f>
        <v/>
      </c>
      <c r="I14" s="7">
        <f>'📋 Báo Cáo 49 Ngày'!P391</f>
        <v/>
      </c>
      <c r="J14" s="18" t="inlineStr"/>
    </row>
    <row r="16">
      <c r="A16" s="20" t="inlineStr">
        <is>
          <t>📍 THỨ 4 (21/10/2026) - NGÀY 44 / 49</t>
        </is>
      </c>
    </row>
    <row r="17">
      <c r="A17" s="21" t="inlineStr">
        <is>
          <t>STT</t>
        </is>
      </c>
      <c r="B17" s="21" t="inlineStr">
        <is>
          <t>Thành Viên</t>
        </is>
      </c>
      <c r="C17" s="21" t="inlineStr">
        <is>
          <t>Reel (Link/Ảnh)</t>
        </is>
      </c>
      <c r="D17" s="21" t="inlineStr">
        <is>
          <t>Bài Viết 1 (Link/Ảnh)</t>
        </is>
      </c>
      <c r="E17" s="21" t="inlineStr">
        <is>
          <t>Bài Viết 2 (Link/Ảnh)</t>
        </is>
      </c>
      <c r="F17" s="21" t="inlineStr">
        <is>
          <t>Bài Tập Nhóm (Link/Ảnh)</t>
        </is>
      </c>
      <c r="G17" s="21" t="inlineStr">
        <is>
          <t>Chi Tiết Ảnh Minh Chứng</t>
        </is>
      </c>
      <c r="H17" s="21" t="inlineStr">
        <is>
          <t>Hoàn Thành</t>
        </is>
      </c>
      <c r="I17" s="21" t="inlineStr">
        <is>
          <t>Đánh Giá</t>
        </is>
      </c>
      <c r="J17" s="21" t="inlineStr">
        <is>
          <t>Ghi Chú</t>
        </is>
      </c>
    </row>
    <row r="18">
      <c r="A18" s="5" t="n">
        <v>1</v>
      </c>
      <c r="B18" s="6" t="inlineStr">
        <is>
          <t>Nancy</t>
        </is>
      </c>
      <c r="C18" s="18">
        <f>'📋 Báo Cáo 49 Ngày'!G392</f>
        <v/>
      </c>
      <c r="D18" s="18">
        <f>'📋 Báo Cáo 49 Ngày'!I392</f>
        <v/>
      </c>
      <c r="E18" s="18">
        <f>'📋 Báo Cáo 49 Ngày'!K392</f>
        <v/>
      </c>
      <c r="F18" s="18">
        <f>'📋 Báo Cáo 49 Ngày'!M392</f>
        <v/>
      </c>
      <c r="G18" s="5">
        <f>IF(COUNTIF('📋 Báo Cáo 49 Ngày'!H392:N392, "&lt;&gt;")&gt;0, "🖼️ Có kèm ảnh", "—")</f>
        <v/>
      </c>
      <c r="H18" s="7">
        <f>'📋 Báo Cáo 49 Ngày'!O392</f>
        <v/>
      </c>
      <c r="I18" s="7">
        <f>'📋 Báo Cáo 49 Ngày'!P392</f>
        <v/>
      </c>
      <c r="J18" s="18" t="inlineStr"/>
    </row>
    <row r="19">
      <c r="A19" s="5" t="n">
        <v>2</v>
      </c>
      <c r="B19" s="6" t="inlineStr">
        <is>
          <t>Hoài Học Mãi</t>
        </is>
      </c>
      <c r="C19" s="18">
        <f>'📋 Báo Cáo 49 Ngày'!G393</f>
        <v/>
      </c>
      <c r="D19" s="18">
        <f>'📋 Báo Cáo 49 Ngày'!I393</f>
        <v/>
      </c>
      <c r="E19" s="18">
        <f>'📋 Báo Cáo 49 Ngày'!K393</f>
        <v/>
      </c>
      <c r="F19" s="18">
        <f>'📋 Báo Cáo 49 Ngày'!M393</f>
        <v/>
      </c>
      <c r="G19" s="5">
        <f>IF(COUNTIF('📋 Báo Cáo 49 Ngày'!H393:N393, "&lt;&gt;")&gt;0, "🖼️ Có kèm ảnh", "—")</f>
        <v/>
      </c>
      <c r="H19" s="7">
        <f>'📋 Báo Cáo 49 Ngày'!O393</f>
        <v/>
      </c>
      <c r="I19" s="7">
        <f>'📋 Báo Cáo 49 Ngày'!P393</f>
        <v/>
      </c>
      <c r="J19" s="18" t="inlineStr"/>
    </row>
    <row r="20">
      <c r="A20" s="5" t="n">
        <v>3</v>
      </c>
      <c r="B20" s="6" t="inlineStr">
        <is>
          <t>Lambee</t>
        </is>
      </c>
      <c r="C20" s="18">
        <f>'📋 Báo Cáo 49 Ngày'!G394</f>
        <v/>
      </c>
      <c r="D20" s="18">
        <f>'📋 Báo Cáo 49 Ngày'!I394</f>
        <v/>
      </c>
      <c r="E20" s="18">
        <f>'📋 Báo Cáo 49 Ngày'!K394</f>
        <v/>
      </c>
      <c r="F20" s="18">
        <f>'📋 Báo Cáo 49 Ngày'!M394</f>
        <v/>
      </c>
      <c r="G20" s="5">
        <f>IF(COUNTIF('📋 Báo Cáo 49 Ngày'!H394:N394, "&lt;&gt;")&gt;0, "🖼️ Có kèm ảnh", "—")</f>
        <v/>
      </c>
      <c r="H20" s="7">
        <f>'📋 Báo Cáo 49 Ngày'!O394</f>
        <v/>
      </c>
      <c r="I20" s="7">
        <f>'📋 Báo Cáo 49 Ngày'!P394</f>
        <v/>
      </c>
      <c r="J20" s="18" t="inlineStr"/>
    </row>
    <row r="21">
      <c r="A21" s="5" t="n">
        <v>4</v>
      </c>
      <c r="B21" s="6" t="inlineStr">
        <is>
          <t>Nhung Hoàng</t>
        </is>
      </c>
      <c r="C21" s="18">
        <f>'📋 Báo Cáo 49 Ngày'!G395</f>
        <v/>
      </c>
      <c r="D21" s="18">
        <f>'📋 Báo Cáo 49 Ngày'!I395</f>
        <v/>
      </c>
      <c r="E21" s="18">
        <f>'📋 Báo Cáo 49 Ngày'!K395</f>
        <v/>
      </c>
      <c r="F21" s="18">
        <f>'📋 Báo Cáo 49 Ngày'!M395</f>
        <v/>
      </c>
      <c r="G21" s="5">
        <f>IF(COUNTIF('📋 Báo Cáo 49 Ngày'!H395:N395, "&lt;&gt;")&gt;0, "🖼️ Có kèm ảnh", "—")</f>
        <v/>
      </c>
      <c r="H21" s="7">
        <f>'📋 Báo Cáo 49 Ngày'!O395</f>
        <v/>
      </c>
      <c r="I21" s="7">
        <f>'📋 Báo Cáo 49 Ngày'!P395</f>
        <v/>
      </c>
      <c r="J21" s="18" t="inlineStr"/>
    </row>
    <row r="22">
      <c r="A22" s="5" t="n">
        <v>5</v>
      </c>
      <c r="B22" s="6" t="inlineStr">
        <is>
          <t>Quỳnh Thu</t>
        </is>
      </c>
      <c r="C22" s="18">
        <f>'📋 Báo Cáo 49 Ngày'!G396</f>
        <v/>
      </c>
      <c r="D22" s="18">
        <f>'📋 Báo Cáo 49 Ngày'!I396</f>
        <v/>
      </c>
      <c r="E22" s="18">
        <f>'📋 Báo Cáo 49 Ngày'!K396</f>
        <v/>
      </c>
      <c r="F22" s="18">
        <f>'📋 Báo Cáo 49 Ngày'!M396</f>
        <v/>
      </c>
      <c r="G22" s="5">
        <f>IF(COUNTIF('📋 Báo Cáo 49 Ngày'!H396:N396, "&lt;&gt;")&gt;0, "🖼️ Có kèm ảnh", "—")</f>
        <v/>
      </c>
      <c r="H22" s="7">
        <f>'📋 Báo Cáo 49 Ngày'!O396</f>
        <v/>
      </c>
      <c r="I22" s="7">
        <f>'📋 Báo Cáo 49 Ngày'!P396</f>
        <v/>
      </c>
      <c r="J22" s="18" t="inlineStr"/>
    </row>
    <row r="23">
      <c r="A23" s="5" t="n">
        <v>6</v>
      </c>
      <c r="B23" s="6" t="inlineStr">
        <is>
          <t>TanAnh Pham</t>
        </is>
      </c>
      <c r="C23" s="18">
        <f>'📋 Báo Cáo 49 Ngày'!G397</f>
        <v/>
      </c>
      <c r="D23" s="18">
        <f>'📋 Báo Cáo 49 Ngày'!I397</f>
        <v/>
      </c>
      <c r="E23" s="18">
        <f>'📋 Báo Cáo 49 Ngày'!K397</f>
        <v/>
      </c>
      <c r="F23" s="18">
        <f>'📋 Báo Cáo 49 Ngày'!M397</f>
        <v/>
      </c>
      <c r="G23" s="5">
        <f>IF(COUNTIF('📋 Báo Cáo 49 Ngày'!H397:N397, "&lt;&gt;")&gt;0, "🖼️ Có kèm ảnh", "—")</f>
        <v/>
      </c>
      <c r="H23" s="7">
        <f>'📋 Báo Cáo 49 Ngày'!O397</f>
        <v/>
      </c>
      <c r="I23" s="7">
        <f>'📋 Báo Cáo 49 Ngày'!P397</f>
        <v/>
      </c>
      <c r="J23" s="18" t="inlineStr"/>
    </row>
    <row r="24">
      <c r="A24" s="5" t="n">
        <v>7</v>
      </c>
      <c r="B24" s="6" t="inlineStr">
        <is>
          <t>Thảo Collins Edu</t>
        </is>
      </c>
      <c r="C24" s="18">
        <f>'📋 Báo Cáo 49 Ngày'!G398</f>
        <v/>
      </c>
      <c r="D24" s="18">
        <f>'📋 Báo Cáo 49 Ngày'!I398</f>
        <v/>
      </c>
      <c r="E24" s="18">
        <f>'📋 Báo Cáo 49 Ngày'!K398</f>
        <v/>
      </c>
      <c r="F24" s="18">
        <f>'📋 Báo Cáo 49 Ngày'!M398</f>
        <v/>
      </c>
      <c r="G24" s="5">
        <f>IF(COUNTIF('📋 Báo Cáo 49 Ngày'!H398:N398, "&lt;&gt;")&gt;0, "🖼️ Có kèm ảnh", "—")</f>
        <v/>
      </c>
      <c r="H24" s="7">
        <f>'📋 Báo Cáo 49 Ngày'!O398</f>
        <v/>
      </c>
      <c r="I24" s="7">
        <f>'📋 Báo Cáo 49 Ngày'!P398</f>
        <v/>
      </c>
      <c r="J24" s="18" t="inlineStr"/>
    </row>
    <row r="25">
      <c r="A25" s="5" t="n">
        <v>8</v>
      </c>
      <c r="B25" s="6" t="inlineStr">
        <is>
          <t>Trần Quế Lam</t>
        </is>
      </c>
      <c r="C25" s="18">
        <f>'📋 Báo Cáo 49 Ngày'!G399</f>
        <v/>
      </c>
      <c r="D25" s="18">
        <f>'📋 Báo Cáo 49 Ngày'!I399</f>
        <v/>
      </c>
      <c r="E25" s="18">
        <f>'📋 Báo Cáo 49 Ngày'!K399</f>
        <v/>
      </c>
      <c r="F25" s="18">
        <f>'📋 Báo Cáo 49 Ngày'!M399</f>
        <v/>
      </c>
      <c r="G25" s="5">
        <f>IF(COUNTIF('📋 Báo Cáo 49 Ngày'!H399:N399, "&lt;&gt;")&gt;0, "🖼️ Có kèm ảnh", "—")</f>
        <v/>
      </c>
      <c r="H25" s="7">
        <f>'📋 Báo Cáo 49 Ngày'!O399</f>
        <v/>
      </c>
      <c r="I25" s="7">
        <f>'📋 Báo Cáo 49 Ngày'!P399</f>
        <v/>
      </c>
      <c r="J25" s="18" t="inlineStr"/>
    </row>
    <row r="26">
      <c r="A26" s="5" t="n">
        <v>9</v>
      </c>
      <c r="B26" s="6" t="inlineStr">
        <is>
          <t>Phạm Huyền</t>
        </is>
      </c>
      <c r="C26" s="18">
        <f>'📋 Báo Cáo 49 Ngày'!G400</f>
        <v/>
      </c>
      <c r="D26" s="18">
        <f>'📋 Báo Cáo 49 Ngày'!I400</f>
        <v/>
      </c>
      <c r="E26" s="18">
        <f>'📋 Báo Cáo 49 Ngày'!K400</f>
        <v/>
      </c>
      <c r="F26" s="18">
        <f>'📋 Báo Cáo 49 Ngày'!M400</f>
        <v/>
      </c>
      <c r="G26" s="5">
        <f>IF(COUNTIF('📋 Báo Cáo 49 Ngày'!H400:N400, "&lt;&gt;")&gt;0, "🖼️ Có kèm ảnh", "—")</f>
        <v/>
      </c>
      <c r="H26" s="7">
        <f>'📋 Báo Cáo 49 Ngày'!O400</f>
        <v/>
      </c>
      <c r="I26" s="7">
        <f>'📋 Báo Cáo 49 Ngày'!P400</f>
        <v/>
      </c>
      <c r="J26" s="18" t="inlineStr"/>
    </row>
    <row r="28">
      <c r="A28" s="20" t="inlineStr">
        <is>
          <t>📍 THỨ 5 (22/10/2026) - NGÀY 45 / 49</t>
        </is>
      </c>
    </row>
    <row r="29">
      <c r="A29" s="21" t="inlineStr">
        <is>
          <t>STT</t>
        </is>
      </c>
      <c r="B29" s="21" t="inlineStr">
        <is>
          <t>Thành Viên</t>
        </is>
      </c>
      <c r="C29" s="21" t="inlineStr">
        <is>
          <t>Reel (Link/Ảnh)</t>
        </is>
      </c>
      <c r="D29" s="21" t="inlineStr">
        <is>
          <t>Bài Viết 1 (Link/Ảnh)</t>
        </is>
      </c>
      <c r="E29" s="21" t="inlineStr">
        <is>
          <t>Bài Viết 2 (Link/Ảnh)</t>
        </is>
      </c>
      <c r="F29" s="21" t="inlineStr">
        <is>
          <t>Bài Tập Nhóm (Link/Ảnh)</t>
        </is>
      </c>
      <c r="G29" s="21" t="inlineStr">
        <is>
          <t>Chi Tiết Ảnh Minh Chứng</t>
        </is>
      </c>
      <c r="H29" s="21" t="inlineStr">
        <is>
          <t>Hoàn Thành</t>
        </is>
      </c>
      <c r="I29" s="21" t="inlineStr">
        <is>
          <t>Đánh Giá</t>
        </is>
      </c>
      <c r="J29" s="21" t="inlineStr">
        <is>
          <t>Ghi Chú</t>
        </is>
      </c>
    </row>
    <row r="30">
      <c r="A30" s="5" t="n">
        <v>1</v>
      </c>
      <c r="B30" s="6" t="inlineStr">
        <is>
          <t>Nancy</t>
        </is>
      </c>
      <c r="C30" s="18">
        <f>'📋 Báo Cáo 49 Ngày'!G401</f>
        <v/>
      </c>
      <c r="D30" s="18">
        <f>'📋 Báo Cáo 49 Ngày'!I401</f>
        <v/>
      </c>
      <c r="E30" s="18">
        <f>'📋 Báo Cáo 49 Ngày'!K401</f>
        <v/>
      </c>
      <c r="F30" s="18">
        <f>'📋 Báo Cáo 49 Ngày'!M401</f>
        <v/>
      </c>
      <c r="G30" s="5">
        <f>IF(COUNTIF('📋 Báo Cáo 49 Ngày'!H401:N401, "&lt;&gt;")&gt;0, "🖼️ Có kèm ảnh", "—")</f>
        <v/>
      </c>
      <c r="H30" s="7">
        <f>'📋 Báo Cáo 49 Ngày'!O401</f>
        <v/>
      </c>
      <c r="I30" s="7">
        <f>'📋 Báo Cáo 49 Ngày'!P401</f>
        <v/>
      </c>
      <c r="J30" s="18" t="inlineStr"/>
    </row>
    <row r="31">
      <c r="A31" s="5" t="n">
        <v>2</v>
      </c>
      <c r="B31" s="6" t="inlineStr">
        <is>
          <t>Hoài Học Mãi</t>
        </is>
      </c>
      <c r="C31" s="18">
        <f>'📋 Báo Cáo 49 Ngày'!G402</f>
        <v/>
      </c>
      <c r="D31" s="18">
        <f>'📋 Báo Cáo 49 Ngày'!I402</f>
        <v/>
      </c>
      <c r="E31" s="18">
        <f>'📋 Báo Cáo 49 Ngày'!K402</f>
        <v/>
      </c>
      <c r="F31" s="18">
        <f>'📋 Báo Cáo 49 Ngày'!M402</f>
        <v/>
      </c>
      <c r="G31" s="5">
        <f>IF(COUNTIF('📋 Báo Cáo 49 Ngày'!H402:N402, "&lt;&gt;")&gt;0, "🖼️ Có kèm ảnh", "—")</f>
        <v/>
      </c>
      <c r="H31" s="7">
        <f>'📋 Báo Cáo 49 Ngày'!O402</f>
        <v/>
      </c>
      <c r="I31" s="7">
        <f>'📋 Báo Cáo 49 Ngày'!P402</f>
        <v/>
      </c>
      <c r="J31" s="18" t="inlineStr"/>
    </row>
    <row r="32">
      <c r="A32" s="5" t="n">
        <v>3</v>
      </c>
      <c r="B32" s="6" t="inlineStr">
        <is>
          <t>Lambee</t>
        </is>
      </c>
      <c r="C32" s="18">
        <f>'📋 Báo Cáo 49 Ngày'!G403</f>
        <v/>
      </c>
      <c r="D32" s="18">
        <f>'📋 Báo Cáo 49 Ngày'!I403</f>
        <v/>
      </c>
      <c r="E32" s="18">
        <f>'📋 Báo Cáo 49 Ngày'!K403</f>
        <v/>
      </c>
      <c r="F32" s="18">
        <f>'📋 Báo Cáo 49 Ngày'!M403</f>
        <v/>
      </c>
      <c r="G32" s="5">
        <f>IF(COUNTIF('📋 Báo Cáo 49 Ngày'!H403:N403, "&lt;&gt;")&gt;0, "🖼️ Có kèm ảnh", "—")</f>
        <v/>
      </c>
      <c r="H32" s="7">
        <f>'📋 Báo Cáo 49 Ngày'!O403</f>
        <v/>
      </c>
      <c r="I32" s="7">
        <f>'📋 Báo Cáo 49 Ngày'!P403</f>
        <v/>
      </c>
      <c r="J32" s="18" t="inlineStr"/>
    </row>
    <row r="33">
      <c r="A33" s="5" t="n">
        <v>4</v>
      </c>
      <c r="B33" s="6" t="inlineStr">
        <is>
          <t>Nhung Hoàng</t>
        </is>
      </c>
      <c r="C33" s="18">
        <f>'📋 Báo Cáo 49 Ngày'!G404</f>
        <v/>
      </c>
      <c r="D33" s="18">
        <f>'📋 Báo Cáo 49 Ngày'!I404</f>
        <v/>
      </c>
      <c r="E33" s="18">
        <f>'📋 Báo Cáo 49 Ngày'!K404</f>
        <v/>
      </c>
      <c r="F33" s="18">
        <f>'📋 Báo Cáo 49 Ngày'!M404</f>
        <v/>
      </c>
      <c r="G33" s="5">
        <f>IF(COUNTIF('📋 Báo Cáo 49 Ngày'!H404:N404, "&lt;&gt;")&gt;0, "🖼️ Có kèm ảnh", "—")</f>
        <v/>
      </c>
      <c r="H33" s="7">
        <f>'📋 Báo Cáo 49 Ngày'!O404</f>
        <v/>
      </c>
      <c r="I33" s="7">
        <f>'📋 Báo Cáo 49 Ngày'!P404</f>
        <v/>
      </c>
      <c r="J33" s="18" t="inlineStr"/>
    </row>
    <row r="34">
      <c r="A34" s="5" t="n">
        <v>5</v>
      </c>
      <c r="B34" s="6" t="inlineStr">
        <is>
          <t>Quỳnh Thu</t>
        </is>
      </c>
      <c r="C34" s="18">
        <f>'📋 Báo Cáo 49 Ngày'!G405</f>
        <v/>
      </c>
      <c r="D34" s="18">
        <f>'📋 Báo Cáo 49 Ngày'!I405</f>
        <v/>
      </c>
      <c r="E34" s="18">
        <f>'📋 Báo Cáo 49 Ngày'!K405</f>
        <v/>
      </c>
      <c r="F34" s="18">
        <f>'📋 Báo Cáo 49 Ngày'!M405</f>
        <v/>
      </c>
      <c r="G34" s="5">
        <f>IF(COUNTIF('📋 Báo Cáo 49 Ngày'!H405:N405, "&lt;&gt;")&gt;0, "🖼️ Có kèm ảnh", "—")</f>
        <v/>
      </c>
      <c r="H34" s="7">
        <f>'📋 Báo Cáo 49 Ngày'!O405</f>
        <v/>
      </c>
      <c r="I34" s="7">
        <f>'📋 Báo Cáo 49 Ngày'!P405</f>
        <v/>
      </c>
      <c r="J34" s="18" t="inlineStr"/>
    </row>
    <row r="35">
      <c r="A35" s="5" t="n">
        <v>6</v>
      </c>
      <c r="B35" s="6" t="inlineStr">
        <is>
          <t>TanAnh Pham</t>
        </is>
      </c>
      <c r="C35" s="18">
        <f>'📋 Báo Cáo 49 Ngày'!G406</f>
        <v/>
      </c>
      <c r="D35" s="18">
        <f>'📋 Báo Cáo 49 Ngày'!I406</f>
        <v/>
      </c>
      <c r="E35" s="18">
        <f>'📋 Báo Cáo 49 Ngày'!K406</f>
        <v/>
      </c>
      <c r="F35" s="18">
        <f>'📋 Báo Cáo 49 Ngày'!M406</f>
        <v/>
      </c>
      <c r="G35" s="5">
        <f>IF(COUNTIF('📋 Báo Cáo 49 Ngày'!H406:N406, "&lt;&gt;")&gt;0, "🖼️ Có kèm ảnh", "—")</f>
        <v/>
      </c>
      <c r="H35" s="7">
        <f>'📋 Báo Cáo 49 Ngày'!O406</f>
        <v/>
      </c>
      <c r="I35" s="7">
        <f>'📋 Báo Cáo 49 Ngày'!P406</f>
        <v/>
      </c>
      <c r="J35" s="18" t="inlineStr"/>
    </row>
    <row r="36">
      <c r="A36" s="5" t="n">
        <v>7</v>
      </c>
      <c r="B36" s="6" t="inlineStr">
        <is>
          <t>Thảo Collins Edu</t>
        </is>
      </c>
      <c r="C36" s="18">
        <f>'📋 Báo Cáo 49 Ngày'!G407</f>
        <v/>
      </c>
      <c r="D36" s="18">
        <f>'📋 Báo Cáo 49 Ngày'!I407</f>
        <v/>
      </c>
      <c r="E36" s="18">
        <f>'📋 Báo Cáo 49 Ngày'!K407</f>
        <v/>
      </c>
      <c r="F36" s="18">
        <f>'📋 Báo Cáo 49 Ngày'!M407</f>
        <v/>
      </c>
      <c r="G36" s="5">
        <f>IF(COUNTIF('📋 Báo Cáo 49 Ngày'!H407:N407, "&lt;&gt;")&gt;0, "🖼️ Có kèm ảnh", "—")</f>
        <v/>
      </c>
      <c r="H36" s="7">
        <f>'📋 Báo Cáo 49 Ngày'!O407</f>
        <v/>
      </c>
      <c r="I36" s="7">
        <f>'📋 Báo Cáo 49 Ngày'!P407</f>
        <v/>
      </c>
      <c r="J36" s="18" t="inlineStr"/>
    </row>
    <row r="37">
      <c r="A37" s="5" t="n">
        <v>8</v>
      </c>
      <c r="B37" s="6" t="inlineStr">
        <is>
          <t>Trần Quế Lam</t>
        </is>
      </c>
      <c r="C37" s="18">
        <f>'📋 Báo Cáo 49 Ngày'!G408</f>
        <v/>
      </c>
      <c r="D37" s="18">
        <f>'📋 Báo Cáo 49 Ngày'!I408</f>
        <v/>
      </c>
      <c r="E37" s="18">
        <f>'📋 Báo Cáo 49 Ngày'!K408</f>
        <v/>
      </c>
      <c r="F37" s="18">
        <f>'📋 Báo Cáo 49 Ngày'!M408</f>
        <v/>
      </c>
      <c r="G37" s="5">
        <f>IF(COUNTIF('📋 Báo Cáo 49 Ngày'!H408:N408, "&lt;&gt;")&gt;0, "🖼️ Có kèm ảnh", "—")</f>
        <v/>
      </c>
      <c r="H37" s="7">
        <f>'📋 Báo Cáo 49 Ngày'!O408</f>
        <v/>
      </c>
      <c r="I37" s="7">
        <f>'📋 Báo Cáo 49 Ngày'!P408</f>
        <v/>
      </c>
      <c r="J37" s="18" t="inlineStr"/>
    </row>
    <row r="38">
      <c r="A38" s="5" t="n">
        <v>9</v>
      </c>
      <c r="B38" s="6" t="inlineStr">
        <is>
          <t>Phạm Huyền</t>
        </is>
      </c>
      <c r="C38" s="18">
        <f>'📋 Báo Cáo 49 Ngày'!G409</f>
        <v/>
      </c>
      <c r="D38" s="18">
        <f>'📋 Báo Cáo 49 Ngày'!I409</f>
        <v/>
      </c>
      <c r="E38" s="18">
        <f>'📋 Báo Cáo 49 Ngày'!K409</f>
        <v/>
      </c>
      <c r="F38" s="18">
        <f>'📋 Báo Cáo 49 Ngày'!M409</f>
        <v/>
      </c>
      <c r="G38" s="5">
        <f>IF(COUNTIF('📋 Báo Cáo 49 Ngày'!H409:N409, "&lt;&gt;")&gt;0, "🖼️ Có kèm ảnh", "—")</f>
        <v/>
      </c>
      <c r="H38" s="7">
        <f>'📋 Báo Cáo 49 Ngày'!O409</f>
        <v/>
      </c>
      <c r="I38" s="7">
        <f>'📋 Báo Cáo 49 Ngày'!P409</f>
        <v/>
      </c>
      <c r="J38" s="18" t="inlineStr"/>
    </row>
    <row r="40">
      <c r="A40" s="20" t="inlineStr">
        <is>
          <t>📍 THỨ 6 (23/10/2026) - NGÀY 46 / 49</t>
        </is>
      </c>
    </row>
    <row r="41">
      <c r="A41" s="21" t="inlineStr">
        <is>
          <t>STT</t>
        </is>
      </c>
      <c r="B41" s="21" t="inlineStr">
        <is>
          <t>Thành Viên</t>
        </is>
      </c>
      <c r="C41" s="21" t="inlineStr">
        <is>
          <t>Reel (Link/Ảnh)</t>
        </is>
      </c>
      <c r="D41" s="21" t="inlineStr">
        <is>
          <t>Bài Viết 1 (Link/Ảnh)</t>
        </is>
      </c>
      <c r="E41" s="21" t="inlineStr">
        <is>
          <t>Bài Viết 2 (Link/Ảnh)</t>
        </is>
      </c>
      <c r="F41" s="21" t="inlineStr">
        <is>
          <t>Bài Tập Nhóm (Link/Ảnh)</t>
        </is>
      </c>
      <c r="G41" s="21" t="inlineStr">
        <is>
          <t>Chi Tiết Ảnh Minh Chứng</t>
        </is>
      </c>
      <c r="H41" s="21" t="inlineStr">
        <is>
          <t>Hoàn Thành</t>
        </is>
      </c>
      <c r="I41" s="21" t="inlineStr">
        <is>
          <t>Đánh Giá</t>
        </is>
      </c>
      <c r="J41" s="21" t="inlineStr">
        <is>
          <t>Ghi Chú</t>
        </is>
      </c>
    </row>
    <row r="42">
      <c r="A42" s="5" t="n">
        <v>1</v>
      </c>
      <c r="B42" s="6" t="inlineStr">
        <is>
          <t>Nancy</t>
        </is>
      </c>
      <c r="C42" s="18">
        <f>'📋 Báo Cáo 49 Ngày'!G410</f>
        <v/>
      </c>
      <c r="D42" s="18">
        <f>'📋 Báo Cáo 49 Ngày'!I410</f>
        <v/>
      </c>
      <c r="E42" s="18">
        <f>'📋 Báo Cáo 49 Ngày'!K410</f>
        <v/>
      </c>
      <c r="F42" s="18">
        <f>'📋 Báo Cáo 49 Ngày'!M410</f>
        <v/>
      </c>
      <c r="G42" s="5">
        <f>IF(COUNTIF('📋 Báo Cáo 49 Ngày'!H410:N410, "&lt;&gt;")&gt;0, "🖼️ Có kèm ảnh", "—")</f>
        <v/>
      </c>
      <c r="H42" s="7">
        <f>'📋 Báo Cáo 49 Ngày'!O410</f>
        <v/>
      </c>
      <c r="I42" s="7">
        <f>'📋 Báo Cáo 49 Ngày'!P410</f>
        <v/>
      </c>
      <c r="J42" s="18" t="inlineStr"/>
    </row>
    <row r="43">
      <c r="A43" s="5" t="n">
        <v>2</v>
      </c>
      <c r="B43" s="6" t="inlineStr">
        <is>
          <t>Hoài Học Mãi</t>
        </is>
      </c>
      <c r="C43" s="18">
        <f>'📋 Báo Cáo 49 Ngày'!G411</f>
        <v/>
      </c>
      <c r="D43" s="18">
        <f>'📋 Báo Cáo 49 Ngày'!I411</f>
        <v/>
      </c>
      <c r="E43" s="18">
        <f>'📋 Báo Cáo 49 Ngày'!K411</f>
        <v/>
      </c>
      <c r="F43" s="18">
        <f>'📋 Báo Cáo 49 Ngày'!M411</f>
        <v/>
      </c>
      <c r="G43" s="5">
        <f>IF(COUNTIF('📋 Báo Cáo 49 Ngày'!H411:N411, "&lt;&gt;")&gt;0, "🖼️ Có kèm ảnh", "—")</f>
        <v/>
      </c>
      <c r="H43" s="7">
        <f>'📋 Báo Cáo 49 Ngày'!O411</f>
        <v/>
      </c>
      <c r="I43" s="7">
        <f>'📋 Báo Cáo 49 Ngày'!P411</f>
        <v/>
      </c>
      <c r="J43" s="18" t="inlineStr"/>
    </row>
    <row r="44">
      <c r="A44" s="5" t="n">
        <v>3</v>
      </c>
      <c r="B44" s="6" t="inlineStr">
        <is>
          <t>Lambee</t>
        </is>
      </c>
      <c r="C44" s="18">
        <f>'📋 Báo Cáo 49 Ngày'!G412</f>
        <v/>
      </c>
      <c r="D44" s="18">
        <f>'📋 Báo Cáo 49 Ngày'!I412</f>
        <v/>
      </c>
      <c r="E44" s="18">
        <f>'📋 Báo Cáo 49 Ngày'!K412</f>
        <v/>
      </c>
      <c r="F44" s="18">
        <f>'📋 Báo Cáo 49 Ngày'!M412</f>
        <v/>
      </c>
      <c r="G44" s="5">
        <f>IF(COUNTIF('📋 Báo Cáo 49 Ngày'!H412:N412, "&lt;&gt;")&gt;0, "🖼️ Có kèm ảnh", "—")</f>
        <v/>
      </c>
      <c r="H44" s="7">
        <f>'📋 Báo Cáo 49 Ngày'!O412</f>
        <v/>
      </c>
      <c r="I44" s="7">
        <f>'📋 Báo Cáo 49 Ngày'!P412</f>
        <v/>
      </c>
      <c r="J44" s="18" t="inlineStr"/>
    </row>
    <row r="45">
      <c r="A45" s="5" t="n">
        <v>4</v>
      </c>
      <c r="B45" s="6" t="inlineStr">
        <is>
          <t>Nhung Hoàng</t>
        </is>
      </c>
      <c r="C45" s="18">
        <f>'📋 Báo Cáo 49 Ngày'!G413</f>
        <v/>
      </c>
      <c r="D45" s="18">
        <f>'📋 Báo Cáo 49 Ngày'!I413</f>
        <v/>
      </c>
      <c r="E45" s="18">
        <f>'📋 Báo Cáo 49 Ngày'!K413</f>
        <v/>
      </c>
      <c r="F45" s="18">
        <f>'📋 Báo Cáo 49 Ngày'!M413</f>
        <v/>
      </c>
      <c r="G45" s="5">
        <f>IF(COUNTIF('📋 Báo Cáo 49 Ngày'!H413:N413, "&lt;&gt;")&gt;0, "🖼️ Có kèm ảnh", "—")</f>
        <v/>
      </c>
      <c r="H45" s="7">
        <f>'📋 Báo Cáo 49 Ngày'!O413</f>
        <v/>
      </c>
      <c r="I45" s="7">
        <f>'📋 Báo Cáo 49 Ngày'!P413</f>
        <v/>
      </c>
      <c r="J45" s="18" t="inlineStr"/>
    </row>
    <row r="46">
      <c r="A46" s="5" t="n">
        <v>5</v>
      </c>
      <c r="B46" s="6" t="inlineStr">
        <is>
          <t>Quỳnh Thu</t>
        </is>
      </c>
      <c r="C46" s="18">
        <f>'📋 Báo Cáo 49 Ngày'!G414</f>
        <v/>
      </c>
      <c r="D46" s="18">
        <f>'📋 Báo Cáo 49 Ngày'!I414</f>
        <v/>
      </c>
      <c r="E46" s="18">
        <f>'📋 Báo Cáo 49 Ngày'!K414</f>
        <v/>
      </c>
      <c r="F46" s="18">
        <f>'📋 Báo Cáo 49 Ngày'!M414</f>
        <v/>
      </c>
      <c r="G46" s="5">
        <f>IF(COUNTIF('📋 Báo Cáo 49 Ngày'!H414:N414, "&lt;&gt;")&gt;0, "🖼️ Có kèm ảnh", "—")</f>
        <v/>
      </c>
      <c r="H46" s="7">
        <f>'📋 Báo Cáo 49 Ngày'!O414</f>
        <v/>
      </c>
      <c r="I46" s="7">
        <f>'📋 Báo Cáo 49 Ngày'!P414</f>
        <v/>
      </c>
      <c r="J46" s="18" t="inlineStr"/>
    </row>
    <row r="47">
      <c r="A47" s="5" t="n">
        <v>6</v>
      </c>
      <c r="B47" s="6" t="inlineStr">
        <is>
          <t>TanAnh Pham</t>
        </is>
      </c>
      <c r="C47" s="18">
        <f>'📋 Báo Cáo 49 Ngày'!G415</f>
        <v/>
      </c>
      <c r="D47" s="18">
        <f>'📋 Báo Cáo 49 Ngày'!I415</f>
        <v/>
      </c>
      <c r="E47" s="18">
        <f>'📋 Báo Cáo 49 Ngày'!K415</f>
        <v/>
      </c>
      <c r="F47" s="18">
        <f>'📋 Báo Cáo 49 Ngày'!M415</f>
        <v/>
      </c>
      <c r="G47" s="5">
        <f>IF(COUNTIF('📋 Báo Cáo 49 Ngày'!H415:N415, "&lt;&gt;")&gt;0, "🖼️ Có kèm ảnh", "—")</f>
        <v/>
      </c>
      <c r="H47" s="7">
        <f>'📋 Báo Cáo 49 Ngày'!O415</f>
        <v/>
      </c>
      <c r="I47" s="7">
        <f>'📋 Báo Cáo 49 Ngày'!P415</f>
        <v/>
      </c>
      <c r="J47" s="18" t="inlineStr"/>
    </row>
    <row r="48">
      <c r="A48" s="5" t="n">
        <v>7</v>
      </c>
      <c r="B48" s="6" t="inlineStr">
        <is>
          <t>Thảo Collins Edu</t>
        </is>
      </c>
      <c r="C48" s="18">
        <f>'📋 Báo Cáo 49 Ngày'!G416</f>
        <v/>
      </c>
      <c r="D48" s="18">
        <f>'📋 Báo Cáo 49 Ngày'!I416</f>
        <v/>
      </c>
      <c r="E48" s="18">
        <f>'📋 Báo Cáo 49 Ngày'!K416</f>
        <v/>
      </c>
      <c r="F48" s="18">
        <f>'📋 Báo Cáo 49 Ngày'!M416</f>
        <v/>
      </c>
      <c r="G48" s="5">
        <f>IF(COUNTIF('📋 Báo Cáo 49 Ngày'!H416:N416, "&lt;&gt;")&gt;0, "🖼️ Có kèm ảnh", "—")</f>
        <v/>
      </c>
      <c r="H48" s="7">
        <f>'📋 Báo Cáo 49 Ngày'!O416</f>
        <v/>
      </c>
      <c r="I48" s="7">
        <f>'📋 Báo Cáo 49 Ngày'!P416</f>
        <v/>
      </c>
      <c r="J48" s="18" t="inlineStr"/>
    </row>
    <row r="49">
      <c r="A49" s="5" t="n">
        <v>8</v>
      </c>
      <c r="B49" s="6" t="inlineStr">
        <is>
          <t>Trần Quế Lam</t>
        </is>
      </c>
      <c r="C49" s="18">
        <f>'📋 Báo Cáo 49 Ngày'!G417</f>
        <v/>
      </c>
      <c r="D49" s="18">
        <f>'📋 Báo Cáo 49 Ngày'!I417</f>
        <v/>
      </c>
      <c r="E49" s="18">
        <f>'📋 Báo Cáo 49 Ngày'!K417</f>
        <v/>
      </c>
      <c r="F49" s="18">
        <f>'📋 Báo Cáo 49 Ngày'!M417</f>
        <v/>
      </c>
      <c r="G49" s="5">
        <f>IF(COUNTIF('📋 Báo Cáo 49 Ngày'!H417:N417, "&lt;&gt;")&gt;0, "🖼️ Có kèm ảnh", "—")</f>
        <v/>
      </c>
      <c r="H49" s="7">
        <f>'📋 Báo Cáo 49 Ngày'!O417</f>
        <v/>
      </c>
      <c r="I49" s="7">
        <f>'📋 Báo Cáo 49 Ngày'!P417</f>
        <v/>
      </c>
      <c r="J49" s="18" t="inlineStr"/>
    </row>
    <row r="50">
      <c r="A50" s="5" t="n">
        <v>9</v>
      </c>
      <c r="B50" s="6" t="inlineStr">
        <is>
          <t>Phạm Huyền</t>
        </is>
      </c>
      <c r="C50" s="18">
        <f>'📋 Báo Cáo 49 Ngày'!G418</f>
        <v/>
      </c>
      <c r="D50" s="18">
        <f>'📋 Báo Cáo 49 Ngày'!I418</f>
        <v/>
      </c>
      <c r="E50" s="18">
        <f>'📋 Báo Cáo 49 Ngày'!K418</f>
        <v/>
      </c>
      <c r="F50" s="18">
        <f>'📋 Báo Cáo 49 Ngày'!M418</f>
        <v/>
      </c>
      <c r="G50" s="5">
        <f>IF(COUNTIF('📋 Báo Cáo 49 Ngày'!H418:N418, "&lt;&gt;")&gt;0, "🖼️ Có kèm ảnh", "—")</f>
        <v/>
      </c>
      <c r="H50" s="7">
        <f>'📋 Báo Cáo 49 Ngày'!O418</f>
        <v/>
      </c>
      <c r="I50" s="7">
        <f>'📋 Báo Cáo 49 Ngày'!P418</f>
        <v/>
      </c>
      <c r="J50" s="18" t="inlineStr"/>
    </row>
    <row r="52">
      <c r="A52" s="20" t="inlineStr">
        <is>
          <t>📍 THỨ 7 (24/10/2026) - NGÀY 47 / 49</t>
        </is>
      </c>
    </row>
    <row r="53">
      <c r="A53" s="21" t="inlineStr">
        <is>
          <t>STT</t>
        </is>
      </c>
      <c r="B53" s="21" t="inlineStr">
        <is>
          <t>Thành Viên</t>
        </is>
      </c>
      <c r="C53" s="21" t="inlineStr">
        <is>
          <t>Reel (Link/Ảnh)</t>
        </is>
      </c>
      <c r="D53" s="21" t="inlineStr">
        <is>
          <t>Bài Viết 1 (Link/Ảnh)</t>
        </is>
      </c>
      <c r="E53" s="21" t="inlineStr">
        <is>
          <t>Bài Viết 2 (Link/Ảnh)</t>
        </is>
      </c>
      <c r="F53" s="21" t="inlineStr">
        <is>
          <t>Bài Tập Nhóm (Link/Ảnh)</t>
        </is>
      </c>
      <c r="G53" s="21" t="inlineStr">
        <is>
          <t>Chi Tiết Ảnh Minh Chứng</t>
        </is>
      </c>
      <c r="H53" s="21" t="inlineStr">
        <is>
          <t>Hoàn Thành</t>
        </is>
      </c>
      <c r="I53" s="21" t="inlineStr">
        <is>
          <t>Đánh Giá</t>
        </is>
      </c>
      <c r="J53" s="21" t="inlineStr">
        <is>
          <t>Ghi Chú</t>
        </is>
      </c>
    </row>
    <row r="54">
      <c r="A54" s="5" t="n">
        <v>1</v>
      </c>
      <c r="B54" s="6" t="inlineStr">
        <is>
          <t>Nancy</t>
        </is>
      </c>
      <c r="C54" s="18">
        <f>'📋 Báo Cáo 49 Ngày'!G419</f>
        <v/>
      </c>
      <c r="D54" s="18">
        <f>'📋 Báo Cáo 49 Ngày'!I419</f>
        <v/>
      </c>
      <c r="E54" s="18">
        <f>'📋 Báo Cáo 49 Ngày'!K419</f>
        <v/>
      </c>
      <c r="F54" s="18">
        <f>'📋 Báo Cáo 49 Ngày'!M419</f>
        <v/>
      </c>
      <c r="G54" s="5">
        <f>IF(COUNTIF('📋 Báo Cáo 49 Ngày'!H419:N419, "&lt;&gt;")&gt;0, "🖼️ Có kèm ảnh", "—")</f>
        <v/>
      </c>
      <c r="H54" s="7">
        <f>'📋 Báo Cáo 49 Ngày'!O419</f>
        <v/>
      </c>
      <c r="I54" s="7">
        <f>'📋 Báo Cáo 49 Ngày'!P419</f>
        <v/>
      </c>
      <c r="J54" s="18" t="inlineStr"/>
    </row>
    <row r="55">
      <c r="A55" s="5" t="n">
        <v>2</v>
      </c>
      <c r="B55" s="6" t="inlineStr">
        <is>
          <t>Hoài Học Mãi</t>
        </is>
      </c>
      <c r="C55" s="18">
        <f>'📋 Báo Cáo 49 Ngày'!G420</f>
        <v/>
      </c>
      <c r="D55" s="18">
        <f>'📋 Báo Cáo 49 Ngày'!I420</f>
        <v/>
      </c>
      <c r="E55" s="18">
        <f>'📋 Báo Cáo 49 Ngày'!K420</f>
        <v/>
      </c>
      <c r="F55" s="18">
        <f>'📋 Báo Cáo 49 Ngày'!M420</f>
        <v/>
      </c>
      <c r="G55" s="5">
        <f>IF(COUNTIF('📋 Báo Cáo 49 Ngày'!H420:N420, "&lt;&gt;")&gt;0, "🖼️ Có kèm ảnh", "—")</f>
        <v/>
      </c>
      <c r="H55" s="7">
        <f>'📋 Báo Cáo 49 Ngày'!O420</f>
        <v/>
      </c>
      <c r="I55" s="7">
        <f>'📋 Báo Cáo 49 Ngày'!P420</f>
        <v/>
      </c>
      <c r="J55" s="18" t="inlineStr"/>
    </row>
    <row r="56">
      <c r="A56" s="5" t="n">
        <v>3</v>
      </c>
      <c r="B56" s="6" t="inlineStr">
        <is>
          <t>Lambee</t>
        </is>
      </c>
      <c r="C56" s="18">
        <f>'📋 Báo Cáo 49 Ngày'!G421</f>
        <v/>
      </c>
      <c r="D56" s="18">
        <f>'📋 Báo Cáo 49 Ngày'!I421</f>
        <v/>
      </c>
      <c r="E56" s="18">
        <f>'📋 Báo Cáo 49 Ngày'!K421</f>
        <v/>
      </c>
      <c r="F56" s="18">
        <f>'📋 Báo Cáo 49 Ngày'!M421</f>
        <v/>
      </c>
      <c r="G56" s="5">
        <f>IF(COUNTIF('📋 Báo Cáo 49 Ngày'!H421:N421, "&lt;&gt;")&gt;0, "🖼️ Có kèm ảnh", "—")</f>
        <v/>
      </c>
      <c r="H56" s="7">
        <f>'📋 Báo Cáo 49 Ngày'!O421</f>
        <v/>
      </c>
      <c r="I56" s="7">
        <f>'📋 Báo Cáo 49 Ngày'!P421</f>
        <v/>
      </c>
      <c r="J56" s="18" t="inlineStr"/>
    </row>
    <row r="57">
      <c r="A57" s="5" t="n">
        <v>4</v>
      </c>
      <c r="B57" s="6" t="inlineStr">
        <is>
          <t>Nhung Hoàng</t>
        </is>
      </c>
      <c r="C57" s="18">
        <f>'📋 Báo Cáo 49 Ngày'!G422</f>
        <v/>
      </c>
      <c r="D57" s="18">
        <f>'📋 Báo Cáo 49 Ngày'!I422</f>
        <v/>
      </c>
      <c r="E57" s="18">
        <f>'📋 Báo Cáo 49 Ngày'!K422</f>
        <v/>
      </c>
      <c r="F57" s="18">
        <f>'📋 Báo Cáo 49 Ngày'!M422</f>
        <v/>
      </c>
      <c r="G57" s="5">
        <f>IF(COUNTIF('📋 Báo Cáo 49 Ngày'!H422:N422, "&lt;&gt;")&gt;0, "🖼️ Có kèm ảnh", "—")</f>
        <v/>
      </c>
      <c r="H57" s="7">
        <f>'📋 Báo Cáo 49 Ngày'!O422</f>
        <v/>
      </c>
      <c r="I57" s="7">
        <f>'📋 Báo Cáo 49 Ngày'!P422</f>
        <v/>
      </c>
      <c r="J57" s="18" t="inlineStr"/>
    </row>
    <row r="58">
      <c r="A58" s="5" t="n">
        <v>5</v>
      </c>
      <c r="B58" s="6" t="inlineStr">
        <is>
          <t>Quỳnh Thu</t>
        </is>
      </c>
      <c r="C58" s="18">
        <f>'📋 Báo Cáo 49 Ngày'!G423</f>
        <v/>
      </c>
      <c r="D58" s="18">
        <f>'📋 Báo Cáo 49 Ngày'!I423</f>
        <v/>
      </c>
      <c r="E58" s="18">
        <f>'📋 Báo Cáo 49 Ngày'!K423</f>
        <v/>
      </c>
      <c r="F58" s="18">
        <f>'📋 Báo Cáo 49 Ngày'!M423</f>
        <v/>
      </c>
      <c r="G58" s="5">
        <f>IF(COUNTIF('📋 Báo Cáo 49 Ngày'!H423:N423, "&lt;&gt;")&gt;0, "🖼️ Có kèm ảnh", "—")</f>
        <v/>
      </c>
      <c r="H58" s="7">
        <f>'📋 Báo Cáo 49 Ngày'!O423</f>
        <v/>
      </c>
      <c r="I58" s="7">
        <f>'📋 Báo Cáo 49 Ngày'!P423</f>
        <v/>
      </c>
      <c r="J58" s="18" t="inlineStr"/>
    </row>
    <row r="59">
      <c r="A59" s="5" t="n">
        <v>6</v>
      </c>
      <c r="B59" s="6" t="inlineStr">
        <is>
          <t>TanAnh Pham</t>
        </is>
      </c>
      <c r="C59" s="18">
        <f>'📋 Báo Cáo 49 Ngày'!G424</f>
        <v/>
      </c>
      <c r="D59" s="18">
        <f>'📋 Báo Cáo 49 Ngày'!I424</f>
        <v/>
      </c>
      <c r="E59" s="18">
        <f>'📋 Báo Cáo 49 Ngày'!K424</f>
        <v/>
      </c>
      <c r="F59" s="18">
        <f>'📋 Báo Cáo 49 Ngày'!M424</f>
        <v/>
      </c>
      <c r="G59" s="5">
        <f>IF(COUNTIF('📋 Báo Cáo 49 Ngày'!H424:N424, "&lt;&gt;")&gt;0, "🖼️ Có kèm ảnh", "—")</f>
        <v/>
      </c>
      <c r="H59" s="7">
        <f>'📋 Báo Cáo 49 Ngày'!O424</f>
        <v/>
      </c>
      <c r="I59" s="7">
        <f>'📋 Báo Cáo 49 Ngày'!P424</f>
        <v/>
      </c>
      <c r="J59" s="18" t="inlineStr"/>
    </row>
    <row r="60">
      <c r="A60" s="5" t="n">
        <v>7</v>
      </c>
      <c r="B60" s="6" t="inlineStr">
        <is>
          <t>Thảo Collins Edu</t>
        </is>
      </c>
      <c r="C60" s="18">
        <f>'📋 Báo Cáo 49 Ngày'!G425</f>
        <v/>
      </c>
      <c r="D60" s="18">
        <f>'📋 Báo Cáo 49 Ngày'!I425</f>
        <v/>
      </c>
      <c r="E60" s="18">
        <f>'📋 Báo Cáo 49 Ngày'!K425</f>
        <v/>
      </c>
      <c r="F60" s="18">
        <f>'📋 Báo Cáo 49 Ngày'!M425</f>
        <v/>
      </c>
      <c r="G60" s="5">
        <f>IF(COUNTIF('📋 Báo Cáo 49 Ngày'!H425:N425, "&lt;&gt;")&gt;0, "🖼️ Có kèm ảnh", "—")</f>
        <v/>
      </c>
      <c r="H60" s="7">
        <f>'📋 Báo Cáo 49 Ngày'!O425</f>
        <v/>
      </c>
      <c r="I60" s="7">
        <f>'📋 Báo Cáo 49 Ngày'!P425</f>
        <v/>
      </c>
      <c r="J60" s="18" t="inlineStr"/>
    </row>
    <row r="61">
      <c r="A61" s="5" t="n">
        <v>8</v>
      </c>
      <c r="B61" s="6" t="inlineStr">
        <is>
          <t>Trần Quế Lam</t>
        </is>
      </c>
      <c r="C61" s="18">
        <f>'📋 Báo Cáo 49 Ngày'!G426</f>
        <v/>
      </c>
      <c r="D61" s="18">
        <f>'📋 Báo Cáo 49 Ngày'!I426</f>
        <v/>
      </c>
      <c r="E61" s="18">
        <f>'📋 Báo Cáo 49 Ngày'!K426</f>
        <v/>
      </c>
      <c r="F61" s="18">
        <f>'📋 Báo Cáo 49 Ngày'!M426</f>
        <v/>
      </c>
      <c r="G61" s="5">
        <f>IF(COUNTIF('📋 Báo Cáo 49 Ngày'!H426:N426, "&lt;&gt;")&gt;0, "🖼️ Có kèm ảnh", "—")</f>
        <v/>
      </c>
      <c r="H61" s="7">
        <f>'📋 Báo Cáo 49 Ngày'!O426</f>
        <v/>
      </c>
      <c r="I61" s="7">
        <f>'📋 Báo Cáo 49 Ngày'!P426</f>
        <v/>
      </c>
      <c r="J61" s="18" t="inlineStr"/>
    </row>
    <row r="62">
      <c r="A62" s="5" t="n">
        <v>9</v>
      </c>
      <c r="B62" s="6" t="inlineStr">
        <is>
          <t>Phạm Huyền</t>
        </is>
      </c>
      <c r="C62" s="18">
        <f>'📋 Báo Cáo 49 Ngày'!G427</f>
        <v/>
      </c>
      <c r="D62" s="18">
        <f>'📋 Báo Cáo 49 Ngày'!I427</f>
        <v/>
      </c>
      <c r="E62" s="18">
        <f>'📋 Báo Cáo 49 Ngày'!K427</f>
        <v/>
      </c>
      <c r="F62" s="18">
        <f>'📋 Báo Cáo 49 Ngày'!M427</f>
        <v/>
      </c>
      <c r="G62" s="5">
        <f>IF(COUNTIF('📋 Báo Cáo 49 Ngày'!H427:N427, "&lt;&gt;")&gt;0, "🖼️ Có kèm ảnh", "—")</f>
        <v/>
      </c>
      <c r="H62" s="7">
        <f>'📋 Báo Cáo 49 Ngày'!O427</f>
        <v/>
      </c>
      <c r="I62" s="7">
        <f>'📋 Báo Cáo 49 Ngày'!P427</f>
        <v/>
      </c>
      <c r="J62" s="18" t="inlineStr"/>
    </row>
    <row r="64">
      <c r="A64" s="20" t="inlineStr">
        <is>
          <t>📍 CHỦ NHẬT (25/10/2026) - NGÀY 48 / 49</t>
        </is>
      </c>
    </row>
    <row r="65">
      <c r="A65" s="21" t="inlineStr">
        <is>
          <t>STT</t>
        </is>
      </c>
      <c r="B65" s="21" t="inlineStr">
        <is>
          <t>Thành Viên</t>
        </is>
      </c>
      <c r="C65" s="21" t="inlineStr">
        <is>
          <t>Reel (Link/Ảnh)</t>
        </is>
      </c>
      <c r="D65" s="21" t="inlineStr">
        <is>
          <t>Bài Viết 1 (Link/Ảnh)</t>
        </is>
      </c>
      <c r="E65" s="21" t="inlineStr">
        <is>
          <t>Bài Viết 2 (Link/Ảnh)</t>
        </is>
      </c>
      <c r="F65" s="21" t="inlineStr">
        <is>
          <t>Bài Tập Nhóm (Link/Ảnh)</t>
        </is>
      </c>
      <c r="G65" s="21" t="inlineStr">
        <is>
          <t>Chi Tiết Ảnh Minh Chứng</t>
        </is>
      </c>
      <c r="H65" s="21" t="inlineStr">
        <is>
          <t>Hoàn Thành</t>
        </is>
      </c>
      <c r="I65" s="21" t="inlineStr">
        <is>
          <t>Đánh Giá</t>
        </is>
      </c>
      <c r="J65" s="21" t="inlineStr">
        <is>
          <t>Ghi Chú</t>
        </is>
      </c>
    </row>
    <row r="66">
      <c r="A66" s="5" t="n">
        <v>1</v>
      </c>
      <c r="B66" s="6" t="inlineStr">
        <is>
          <t>Nancy</t>
        </is>
      </c>
      <c r="C66" s="18">
        <f>'📋 Báo Cáo 49 Ngày'!G428</f>
        <v/>
      </c>
      <c r="D66" s="18">
        <f>'📋 Báo Cáo 49 Ngày'!I428</f>
        <v/>
      </c>
      <c r="E66" s="18">
        <f>'📋 Báo Cáo 49 Ngày'!K428</f>
        <v/>
      </c>
      <c r="F66" s="18">
        <f>'📋 Báo Cáo 49 Ngày'!M428</f>
        <v/>
      </c>
      <c r="G66" s="5">
        <f>IF(COUNTIF('📋 Báo Cáo 49 Ngày'!H428:N428, "&lt;&gt;")&gt;0, "🖼️ Có kèm ảnh", "—")</f>
        <v/>
      </c>
      <c r="H66" s="7">
        <f>'📋 Báo Cáo 49 Ngày'!O428</f>
        <v/>
      </c>
      <c r="I66" s="7">
        <f>'📋 Báo Cáo 49 Ngày'!P428</f>
        <v/>
      </c>
      <c r="J66" s="18" t="inlineStr"/>
    </row>
    <row r="67">
      <c r="A67" s="5" t="n">
        <v>2</v>
      </c>
      <c r="B67" s="6" t="inlineStr">
        <is>
          <t>Hoài Học Mãi</t>
        </is>
      </c>
      <c r="C67" s="18">
        <f>'📋 Báo Cáo 49 Ngày'!G429</f>
        <v/>
      </c>
      <c r="D67" s="18">
        <f>'📋 Báo Cáo 49 Ngày'!I429</f>
        <v/>
      </c>
      <c r="E67" s="18">
        <f>'📋 Báo Cáo 49 Ngày'!K429</f>
        <v/>
      </c>
      <c r="F67" s="18">
        <f>'📋 Báo Cáo 49 Ngày'!M429</f>
        <v/>
      </c>
      <c r="G67" s="5">
        <f>IF(COUNTIF('📋 Báo Cáo 49 Ngày'!H429:N429, "&lt;&gt;")&gt;0, "🖼️ Có kèm ảnh", "—")</f>
        <v/>
      </c>
      <c r="H67" s="7">
        <f>'📋 Báo Cáo 49 Ngày'!O429</f>
        <v/>
      </c>
      <c r="I67" s="7">
        <f>'📋 Báo Cáo 49 Ngày'!P429</f>
        <v/>
      </c>
      <c r="J67" s="18" t="inlineStr"/>
    </row>
    <row r="68">
      <c r="A68" s="5" t="n">
        <v>3</v>
      </c>
      <c r="B68" s="6" t="inlineStr">
        <is>
          <t>Lambee</t>
        </is>
      </c>
      <c r="C68" s="18">
        <f>'📋 Báo Cáo 49 Ngày'!G430</f>
        <v/>
      </c>
      <c r="D68" s="18">
        <f>'📋 Báo Cáo 49 Ngày'!I430</f>
        <v/>
      </c>
      <c r="E68" s="18">
        <f>'📋 Báo Cáo 49 Ngày'!K430</f>
        <v/>
      </c>
      <c r="F68" s="18">
        <f>'📋 Báo Cáo 49 Ngày'!M430</f>
        <v/>
      </c>
      <c r="G68" s="5">
        <f>IF(COUNTIF('📋 Báo Cáo 49 Ngày'!H430:N430, "&lt;&gt;")&gt;0, "🖼️ Có kèm ảnh", "—")</f>
        <v/>
      </c>
      <c r="H68" s="7">
        <f>'📋 Báo Cáo 49 Ngày'!O430</f>
        <v/>
      </c>
      <c r="I68" s="7">
        <f>'📋 Báo Cáo 49 Ngày'!P430</f>
        <v/>
      </c>
      <c r="J68" s="18" t="inlineStr"/>
    </row>
    <row r="69">
      <c r="A69" s="5" t="n">
        <v>4</v>
      </c>
      <c r="B69" s="6" t="inlineStr">
        <is>
          <t>Nhung Hoàng</t>
        </is>
      </c>
      <c r="C69" s="18">
        <f>'📋 Báo Cáo 49 Ngày'!G431</f>
        <v/>
      </c>
      <c r="D69" s="18">
        <f>'📋 Báo Cáo 49 Ngày'!I431</f>
        <v/>
      </c>
      <c r="E69" s="18">
        <f>'📋 Báo Cáo 49 Ngày'!K431</f>
        <v/>
      </c>
      <c r="F69" s="18">
        <f>'📋 Báo Cáo 49 Ngày'!M431</f>
        <v/>
      </c>
      <c r="G69" s="5">
        <f>IF(COUNTIF('📋 Báo Cáo 49 Ngày'!H431:N431, "&lt;&gt;")&gt;0, "🖼️ Có kèm ảnh", "—")</f>
        <v/>
      </c>
      <c r="H69" s="7">
        <f>'📋 Báo Cáo 49 Ngày'!O431</f>
        <v/>
      </c>
      <c r="I69" s="7">
        <f>'📋 Báo Cáo 49 Ngày'!P431</f>
        <v/>
      </c>
      <c r="J69" s="18" t="inlineStr"/>
    </row>
    <row r="70">
      <c r="A70" s="5" t="n">
        <v>5</v>
      </c>
      <c r="B70" s="6" t="inlineStr">
        <is>
          <t>Quỳnh Thu</t>
        </is>
      </c>
      <c r="C70" s="18">
        <f>'📋 Báo Cáo 49 Ngày'!G432</f>
        <v/>
      </c>
      <c r="D70" s="18">
        <f>'📋 Báo Cáo 49 Ngày'!I432</f>
        <v/>
      </c>
      <c r="E70" s="18">
        <f>'📋 Báo Cáo 49 Ngày'!K432</f>
        <v/>
      </c>
      <c r="F70" s="18">
        <f>'📋 Báo Cáo 49 Ngày'!M432</f>
        <v/>
      </c>
      <c r="G70" s="5">
        <f>IF(COUNTIF('📋 Báo Cáo 49 Ngày'!H432:N432, "&lt;&gt;")&gt;0, "🖼️ Có kèm ảnh", "—")</f>
        <v/>
      </c>
      <c r="H70" s="7">
        <f>'📋 Báo Cáo 49 Ngày'!O432</f>
        <v/>
      </c>
      <c r="I70" s="7">
        <f>'📋 Báo Cáo 49 Ngày'!P432</f>
        <v/>
      </c>
      <c r="J70" s="18" t="inlineStr"/>
    </row>
    <row r="71">
      <c r="A71" s="5" t="n">
        <v>6</v>
      </c>
      <c r="B71" s="6" t="inlineStr">
        <is>
          <t>TanAnh Pham</t>
        </is>
      </c>
      <c r="C71" s="18">
        <f>'📋 Báo Cáo 49 Ngày'!G433</f>
        <v/>
      </c>
      <c r="D71" s="18">
        <f>'📋 Báo Cáo 49 Ngày'!I433</f>
        <v/>
      </c>
      <c r="E71" s="18">
        <f>'📋 Báo Cáo 49 Ngày'!K433</f>
        <v/>
      </c>
      <c r="F71" s="18">
        <f>'📋 Báo Cáo 49 Ngày'!M433</f>
        <v/>
      </c>
      <c r="G71" s="5">
        <f>IF(COUNTIF('📋 Báo Cáo 49 Ngày'!H433:N433, "&lt;&gt;")&gt;0, "🖼️ Có kèm ảnh", "—")</f>
        <v/>
      </c>
      <c r="H71" s="7">
        <f>'📋 Báo Cáo 49 Ngày'!O433</f>
        <v/>
      </c>
      <c r="I71" s="7">
        <f>'📋 Báo Cáo 49 Ngày'!P433</f>
        <v/>
      </c>
      <c r="J71" s="18" t="inlineStr"/>
    </row>
    <row r="72">
      <c r="A72" s="5" t="n">
        <v>7</v>
      </c>
      <c r="B72" s="6" t="inlineStr">
        <is>
          <t>Thảo Collins Edu</t>
        </is>
      </c>
      <c r="C72" s="18">
        <f>'📋 Báo Cáo 49 Ngày'!G434</f>
        <v/>
      </c>
      <c r="D72" s="18">
        <f>'📋 Báo Cáo 49 Ngày'!I434</f>
        <v/>
      </c>
      <c r="E72" s="18">
        <f>'📋 Báo Cáo 49 Ngày'!K434</f>
        <v/>
      </c>
      <c r="F72" s="18">
        <f>'📋 Báo Cáo 49 Ngày'!M434</f>
        <v/>
      </c>
      <c r="G72" s="5">
        <f>IF(COUNTIF('📋 Báo Cáo 49 Ngày'!H434:N434, "&lt;&gt;")&gt;0, "🖼️ Có kèm ảnh", "—")</f>
        <v/>
      </c>
      <c r="H72" s="7">
        <f>'📋 Báo Cáo 49 Ngày'!O434</f>
        <v/>
      </c>
      <c r="I72" s="7">
        <f>'📋 Báo Cáo 49 Ngày'!P434</f>
        <v/>
      </c>
      <c r="J72" s="18" t="inlineStr"/>
    </row>
    <row r="73">
      <c r="A73" s="5" t="n">
        <v>8</v>
      </c>
      <c r="B73" s="6" t="inlineStr">
        <is>
          <t>Trần Quế Lam</t>
        </is>
      </c>
      <c r="C73" s="18">
        <f>'📋 Báo Cáo 49 Ngày'!G435</f>
        <v/>
      </c>
      <c r="D73" s="18">
        <f>'📋 Báo Cáo 49 Ngày'!I435</f>
        <v/>
      </c>
      <c r="E73" s="18">
        <f>'📋 Báo Cáo 49 Ngày'!K435</f>
        <v/>
      </c>
      <c r="F73" s="18">
        <f>'📋 Báo Cáo 49 Ngày'!M435</f>
        <v/>
      </c>
      <c r="G73" s="5">
        <f>IF(COUNTIF('📋 Báo Cáo 49 Ngày'!H435:N435, "&lt;&gt;")&gt;0, "🖼️ Có kèm ảnh", "—")</f>
        <v/>
      </c>
      <c r="H73" s="7">
        <f>'📋 Báo Cáo 49 Ngày'!O435</f>
        <v/>
      </c>
      <c r="I73" s="7">
        <f>'📋 Báo Cáo 49 Ngày'!P435</f>
        <v/>
      </c>
      <c r="J73" s="18" t="inlineStr"/>
    </row>
    <row r="74">
      <c r="A74" s="5" t="n">
        <v>9</v>
      </c>
      <c r="B74" s="6" t="inlineStr">
        <is>
          <t>Phạm Huyền</t>
        </is>
      </c>
      <c r="C74" s="18">
        <f>'📋 Báo Cáo 49 Ngày'!G436</f>
        <v/>
      </c>
      <c r="D74" s="18">
        <f>'📋 Báo Cáo 49 Ngày'!I436</f>
        <v/>
      </c>
      <c r="E74" s="18">
        <f>'📋 Báo Cáo 49 Ngày'!K436</f>
        <v/>
      </c>
      <c r="F74" s="18">
        <f>'📋 Báo Cáo 49 Ngày'!M436</f>
        <v/>
      </c>
      <c r="G74" s="5">
        <f>IF(COUNTIF('📋 Báo Cáo 49 Ngày'!H436:N436, "&lt;&gt;")&gt;0, "🖼️ Có kèm ảnh", "—")</f>
        <v/>
      </c>
      <c r="H74" s="7">
        <f>'📋 Báo Cáo 49 Ngày'!O436</f>
        <v/>
      </c>
      <c r="I74" s="7">
        <f>'📋 Báo Cáo 49 Ngày'!P436</f>
        <v/>
      </c>
      <c r="J74" s="18" t="inlineStr"/>
    </row>
    <row r="76">
      <c r="A76" s="20" t="inlineStr">
        <is>
          <t>📍 THỨ 2 (26/10/2026) - NGÀY 49 / 49</t>
        </is>
      </c>
    </row>
    <row r="77">
      <c r="A77" s="21" t="inlineStr">
        <is>
          <t>STT</t>
        </is>
      </c>
      <c r="B77" s="21" t="inlineStr">
        <is>
          <t>Thành Viên</t>
        </is>
      </c>
      <c r="C77" s="21" t="inlineStr">
        <is>
          <t>Reel (Link/Ảnh)</t>
        </is>
      </c>
      <c r="D77" s="21" t="inlineStr">
        <is>
          <t>Bài Viết 1 (Link/Ảnh)</t>
        </is>
      </c>
      <c r="E77" s="21" t="inlineStr">
        <is>
          <t>Bài Viết 2 (Link/Ảnh)</t>
        </is>
      </c>
      <c r="F77" s="21" t="inlineStr">
        <is>
          <t>Bài Tập Nhóm (Link/Ảnh)</t>
        </is>
      </c>
      <c r="G77" s="21" t="inlineStr">
        <is>
          <t>Chi Tiết Ảnh Minh Chứng</t>
        </is>
      </c>
      <c r="H77" s="21" t="inlineStr">
        <is>
          <t>Hoàn Thành</t>
        </is>
      </c>
      <c r="I77" s="21" t="inlineStr">
        <is>
          <t>Đánh Giá</t>
        </is>
      </c>
      <c r="J77" s="21" t="inlineStr">
        <is>
          <t>Ghi Chú</t>
        </is>
      </c>
    </row>
    <row r="78">
      <c r="A78" s="5" t="n">
        <v>1</v>
      </c>
      <c r="B78" s="6" t="inlineStr">
        <is>
          <t>Nancy</t>
        </is>
      </c>
      <c r="C78" s="18">
        <f>'📋 Báo Cáo 49 Ngày'!G437</f>
        <v/>
      </c>
      <c r="D78" s="18">
        <f>'📋 Báo Cáo 49 Ngày'!I437</f>
        <v/>
      </c>
      <c r="E78" s="18">
        <f>'📋 Báo Cáo 49 Ngày'!K437</f>
        <v/>
      </c>
      <c r="F78" s="18">
        <f>'📋 Báo Cáo 49 Ngày'!M437</f>
        <v/>
      </c>
      <c r="G78" s="5">
        <f>IF(COUNTIF('📋 Báo Cáo 49 Ngày'!H437:N437, "&lt;&gt;")&gt;0, "🖼️ Có kèm ảnh", "—")</f>
        <v/>
      </c>
      <c r="H78" s="7">
        <f>'📋 Báo Cáo 49 Ngày'!O437</f>
        <v/>
      </c>
      <c r="I78" s="7">
        <f>'📋 Báo Cáo 49 Ngày'!P437</f>
        <v/>
      </c>
      <c r="J78" s="18" t="inlineStr"/>
    </row>
    <row r="79">
      <c r="A79" s="5" t="n">
        <v>2</v>
      </c>
      <c r="B79" s="6" t="inlineStr">
        <is>
          <t>Hoài Học Mãi</t>
        </is>
      </c>
      <c r="C79" s="18">
        <f>'📋 Báo Cáo 49 Ngày'!G438</f>
        <v/>
      </c>
      <c r="D79" s="18">
        <f>'📋 Báo Cáo 49 Ngày'!I438</f>
        <v/>
      </c>
      <c r="E79" s="18">
        <f>'📋 Báo Cáo 49 Ngày'!K438</f>
        <v/>
      </c>
      <c r="F79" s="18">
        <f>'📋 Báo Cáo 49 Ngày'!M438</f>
        <v/>
      </c>
      <c r="G79" s="5">
        <f>IF(COUNTIF('📋 Báo Cáo 49 Ngày'!H438:N438, "&lt;&gt;")&gt;0, "🖼️ Có kèm ảnh", "—")</f>
        <v/>
      </c>
      <c r="H79" s="7">
        <f>'📋 Báo Cáo 49 Ngày'!O438</f>
        <v/>
      </c>
      <c r="I79" s="7">
        <f>'📋 Báo Cáo 49 Ngày'!P438</f>
        <v/>
      </c>
      <c r="J79" s="18" t="inlineStr"/>
    </row>
    <row r="80">
      <c r="A80" s="5" t="n">
        <v>3</v>
      </c>
      <c r="B80" s="6" t="inlineStr">
        <is>
          <t>Lambee</t>
        </is>
      </c>
      <c r="C80" s="18">
        <f>'📋 Báo Cáo 49 Ngày'!G439</f>
        <v/>
      </c>
      <c r="D80" s="18">
        <f>'📋 Báo Cáo 49 Ngày'!I439</f>
        <v/>
      </c>
      <c r="E80" s="18">
        <f>'📋 Báo Cáo 49 Ngày'!K439</f>
        <v/>
      </c>
      <c r="F80" s="18">
        <f>'📋 Báo Cáo 49 Ngày'!M439</f>
        <v/>
      </c>
      <c r="G80" s="5">
        <f>IF(COUNTIF('📋 Báo Cáo 49 Ngày'!H439:N439, "&lt;&gt;")&gt;0, "🖼️ Có kèm ảnh", "—")</f>
        <v/>
      </c>
      <c r="H80" s="7">
        <f>'📋 Báo Cáo 49 Ngày'!O439</f>
        <v/>
      </c>
      <c r="I80" s="7">
        <f>'📋 Báo Cáo 49 Ngày'!P439</f>
        <v/>
      </c>
      <c r="J80" s="18" t="inlineStr"/>
    </row>
    <row r="81">
      <c r="A81" s="5" t="n">
        <v>4</v>
      </c>
      <c r="B81" s="6" t="inlineStr">
        <is>
          <t>Nhung Hoàng</t>
        </is>
      </c>
      <c r="C81" s="18">
        <f>'📋 Báo Cáo 49 Ngày'!G440</f>
        <v/>
      </c>
      <c r="D81" s="18">
        <f>'📋 Báo Cáo 49 Ngày'!I440</f>
        <v/>
      </c>
      <c r="E81" s="18">
        <f>'📋 Báo Cáo 49 Ngày'!K440</f>
        <v/>
      </c>
      <c r="F81" s="18">
        <f>'📋 Báo Cáo 49 Ngày'!M440</f>
        <v/>
      </c>
      <c r="G81" s="5">
        <f>IF(COUNTIF('📋 Báo Cáo 49 Ngày'!H440:N440, "&lt;&gt;")&gt;0, "🖼️ Có kèm ảnh", "—")</f>
        <v/>
      </c>
      <c r="H81" s="7">
        <f>'📋 Báo Cáo 49 Ngày'!O440</f>
        <v/>
      </c>
      <c r="I81" s="7">
        <f>'📋 Báo Cáo 49 Ngày'!P440</f>
        <v/>
      </c>
      <c r="J81" s="18" t="inlineStr"/>
    </row>
    <row r="82">
      <c r="A82" s="5" t="n">
        <v>5</v>
      </c>
      <c r="B82" s="6" t="inlineStr">
        <is>
          <t>Quỳnh Thu</t>
        </is>
      </c>
      <c r="C82" s="18">
        <f>'📋 Báo Cáo 49 Ngày'!G441</f>
        <v/>
      </c>
      <c r="D82" s="18">
        <f>'📋 Báo Cáo 49 Ngày'!I441</f>
        <v/>
      </c>
      <c r="E82" s="18">
        <f>'📋 Báo Cáo 49 Ngày'!K441</f>
        <v/>
      </c>
      <c r="F82" s="18">
        <f>'📋 Báo Cáo 49 Ngày'!M441</f>
        <v/>
      </c>
      <c r="G82" s="5">
        <f>IF(COUNTIF('📋 Báo Cáo 49 Ngày'!H441:N441, "&lt;&gt;")&gt;0, "🖼️ Có kèm ảnh", "—")</f>
        <v/>
      </c>
      <c r="H82" s="7">
        <f>'📋 Báo Cáo 49 Ngày'!O441</f>
        <v/>
      </c>
      <c r="I82" s="7">
        <f>'📋 Báo Cáo 49 Ngày'!P441</f>
        <v/>
      </c>
      <c r="J82" s="18" t="inlineStr"/>
    </row>
    <row r="83">
      <c r="A83" s="5" t="n">
        <v>6</v>
      </c>
      <c r="B83" s="6" t="inlineStr">
        <is>
          <t>TanAnh Pham</t>
        </is>
      </c>
      <c r="C83" s="18">
        <f>'📋 Báo Cáo 49 Ngày'!G442</f>
        <v/>
      </c>
      <c r="D83" s="18">
        <f>'📋 Báo Cáo 49 Ngày'!I442</f>
        <v/>
      </c>
      <c r="E83" s="18">
        <f>'📋 Báo Cáo 49 Ngày'!K442</f>
        <v/>
      </c>
      <c r="F83" s="18">
        <f>'📋 Báo Cáo 49 Ngày'!M442</f>
        <v/>
      </c>
      <c r="G83" s="5">
        <f>IF(COUNTIF('📋 Báo Cáo 49 Ngày'!H442:N442, "&lt;&gt;")&gt;0, "🖼️ Có kèm ảnh", "—")</f>
        <v/>
      </c>
      <c r="H83" s="7">
        <f>'📋 Báo Cáo 49 Ngày'!O442</f>
        <v/>
      </c>
      <c r="I83" s="7">
        <f>'📋 Báo Cáo 49 Ngày'!P442</f>
        <v/>
      </c>
      <c r="J83" s="18" t="inlineStr"/>
    </row>
    <row r="84">
      <c r="A84" s="5" t="n">
        <v>7</v>
      </c>
      <c r="B84" s="6" t="inlineStr">
        <is>
          <t>Thảo Collins Edu</t>
        </is>
      </c>
      <c r="C84" s="18">
        <f>'📋 Báo Cáo 49 Ngày'!G443</f>
        <v/>
      </c>
      <c r="D84" s="18">
        <f>'📋 Báo Cáo 49 Ngày'!I443</f>
        <v/>
      </c>
      <c r="E84" s="18">
        <f>'📋 Báo Cáo 49 Ngày'!K443</f>
        <v/>
      </c>
      <c r="F84" s="18">
        <f>'📋 Báo Cáo 49 Ngày'!M443</f>
        <v/>
      </c>
      <c r="G84" s="5">
        <f>IF(COUNTIF('📋 Báo Cáo 49 Ngày'!H443:N443, "&lt;&gt;")&gt;0, "🖼️ Có kèm ảnh", "—")</f>
        <v/>
      </c>
      <c r="H84" s="7">
        <f>'📋 Báo Cáo 49 Ngày'!O443</f>
        <v/>
      </c>
      <c r="I84" s="7">
        <f>'📋 Báo Cáo 49 Ngày'!P443</f>
        <v/>
      </c>
      <c r="J84" s="18" t="inlineStr"/>
    </row>
    <row r="85">
      <c r="A85" s="5" t="n">
        <v>8</v>
      </c>
      <c r="B85" s="6" t="inlineStr">
        <is>
          <t>Trần Quế Lam</t>
        </is>
      </c>
      <c r="C85" s="18">
        <f>'📋 Báo Cáo 49 Ngày'!G444</f>
        <v/>
      </c>
      <c r="D85" s="18">
        <f>'📋 Báo Cáo 49 Ngày'!I444</f>
        <v/>
      </c>
      <c r="E85" s="18">
        <f>'📋 Báo Cáo 49 Ngày'!K444</f>
        <v/>
      </c>
      <c r="F85" s="18">
        <f>'📋 Báo Cáo 49 Ngày'!M444</f>
        <v/>
      </c>
      <c r="G85" s="5">
        <f>IF(COUNTIF('📋 Báo Cáo 49 Ngày'!H444:N444, "&lt;&gt;")&gt;0, "🖼️ Có kèm ảnh", "—")</f>
        <v/>
      </c>
      <c r="H85" s="7">
        <f>'📋 Báo Cáo 49 Ngày'!O444</f>
        <v/>
      </c>
      <c r="I85" s="7">
        <f>'📋 Báo Cáo 49 Ngày'!P444</f>
        <v/>
      </c>
      <c r="J85" s="18" t="inlineStr"/>
    </row>
    <row r="86">
      <c r="A86" s="5" t="n">
        <v>9</v>
      </c>
      <c r="B86" s="6" t="inlineStr">
        <is>
          <t>Phạm Huyền</t>
        </is>
      </c>
      <c r="C86" s="18">
        <f>'📋 Báo Cáo 49 Ngày'!G445</f>
        <v/>
      </c>
      <c r="D86" s="18">
        <f>'📋 Báo Cáo 49 Ngày'!I445</f>
        <v/>
      </c>
      <c r="E86" s="18">
        <f>'📋 Báo Cáo 49 Ngày'!K445</f>
        <v/>
      </c>
      <c r="F86" s="18">
        <f>'📋 Báo Cáo 49 Ngày'!M445</f>
        <v/>
      </c>
      <c r="G86" s="5">
        <f>IF(COUNTIF('📋 Báo Cáo 49 Ngày'!H445:N445, "&lt;&gt;")&gt;0, "🖼️ Có kèm ảnh", "—")</f>
        <v/>
      </c>
      <c r="H86" s="7">
        <f>'📋 Báo Cáo 49 Ngày'!O445</f>
        <v/>
      </c>
      <c r="I86" s="7">
        <f>'📋 Báo Cáo 49 Ngày'!P445</f>
        <v/>
      </c>
      <c r="J86" s="18" t="inlineStr"/>
    </row>
  </sheetData>
  <mergeCells count="8">
    <mergeCell ref="A64:J64"/>
    <mergeCell ref="A1:J2"/>
    <mergeCell ref="A40:J40"/>
    <mergeCell ref="A4:J4"/>
    <mergeCell ref="A16:J16"/>
    <mergeCell ref="A52:J52"/>
    <mergeCell ref="A28:J28"/>
    <mergeCell ref="A76:J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2026-09-08T01:08:59Z</dcterms:created>
  <dcterms:modified xmlns:dcterms="http://purl.org/dc/terms/" xmlns:xsi="http://www.w3.org/2001/XMLSchema-instance" xsi:type="dcterms:W3CDTF">2026-09-08T01:09:00Z</dcterms:modified>
</cp:coreProperties>
</file>